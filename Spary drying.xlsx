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iller capacit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2" l="1"/>
  <c r="D18" i="2"/>
  <c r="D19" i="2" s="1"/>
  <c r="D12" i="2"/>
  <c r="D10" i="2"/>
  <c r="D9" i="2"/>
  <c r="G25" i="2" l="1"/>
  <c r="H25" i="2" s="1"/>
  <c r="D25" i="2"/>
  <c r="E25" i="2" s="1"/>
  <c r="F25" i="2" s="1"/>
  <c r="J25" i="2" l="1"/>
  <c r="I25" i="2"/>
  <c r="C26" i="2" s="1"/>
  <c r="G26" i="2" l="1"/>
  <c r="H26" i="2" s="1"/>
  <c r="J26" i="2" s="1"/>
  <c r="D26" i="2"/>
  <c r="E26" i="2" s="1"/>
  <c r="F26" i="2" s="1"/>
  <c r="I26" i="2" l="1"/>
  <c r="C27" i="2" s="1"/>
  <c r="G27" i="2" l="1"/>
  <c r="H27" i="2" s="1"/>
  <c r="J27" i="2" s="1"/>
  <c r="D27" i="2"/>
  <c r="E27" i="2" s="1"/>
  <c r="F27" i="2" s="1"/>
  <c r="I27" i="2"/>
  <c r="C28" i="2" s="1"/>
  <c r="G28" i="2" l="1"/>
  <c r="H28" i="2" s="1"/>
  <c r="J28" i="2" s="1"/>
  <c r="D28" i="2"/>
  <c r="E28" i="2" s="1"/>
  <c r="F28" i="2" s="1"/>
  <c r="I28" i="2" l="1"/>
  <c r="C29" i="2" s="1"/>
  <c r="G29" i="2" l="1"/>
  <c r="H29" i="2" s="1"/>
  <c r="J29" i="2" s="1"/>
  <c r="D29" i="2"/>
  <c r="E29" i="2" s="1"/>
  <c r="F29" i="2" s="1"/>
  <c r="I29" i="2"/>
  <c r="C30" i="2" s="1"/>
  <c r="G30" i="2" l="1"/>
  <c r="H30" i="2" s="1"/>
  <c r="J30" i="2" s="1"/>
  <c r="I30" i="2"/>
  <c r="C31" i="2" s="1"/>
  <c r="D30" i="2"/>
  <c r="E30" i="2" s="1"/>
  <c r="F30" i="2" s="1"/>
  <c r="G31" i="2" l="1"/>
  <c r="H31" i="2" s="1"/>
  <c r="J31" i="2" s="1"/>
  <c r="D31" i="2"/>
  <c r="E31" i="2" s="1"/>
  <c r="F31" i="2" s="1"/>
  <c r="I31" i="2"/>
</calcChain>
</file>

<file path=xl/sharedStrings.xml><?xml version="1.0" encoding="utf-8"?>
<sst xmlns="http://schemas.openxmlformats.org/spreadsheetml/2006/main" count="34" uniqueCount="30">
  <si>
    <t>Outlet temperature</t>
  </si>
  <si>
    <t>C</t>
  </si>
  <si>
    <t>Assumptions</t>
  </si>
  <si>
    <t>M.W of N2</t>
  </si>
  <si>
    <t>kg/kmol</t>
  </si>
  <si>
    <t>M.W water</t>
  </si>
  <si>
    <t xml:space="preserve">Mass flow of water </t>
  </si>
  <si>
    <t>kg/hr</t>
  </si>
  <si>
    <t>Mass flow of Nitrogen</t>
  </si>
  <si>
    <t xml:space="preserve">Moles of water </t>
  </si>
  <si>
    <t>kmol/hr</t>
  </si>
  <si>
    <t>Moles of nitrogen</t>
  </si>
  <si>
    <t xml:space="preserve">Mole fraction of water </t>
  </si>
  <si>
    <t>Antoine coefficients</t>
  </si>
  <si>
    <t>A</t>
  </si>
  <si>
    <t>B</t>
  </si>
  <si>
    <t>Saturated Vapor pressure (P vap)</t>
  </si>
  <si>
    <t>mmHg</t>
  </si>
  <si>
    <t>Water vapor flow capacity (Kg/hr)</t>
  </si>
  <si>
    <t>Kg/hr</t>
  </si>
  <si>
    <t xml:space="preserve">Chiller efficiency </t>
  </si>
  <si>
    <t>Hour</t>
  </si>
  <si>
    <t>Feed rate of water (Kg)</t>
  </si>
  <si>
    <t>Humidity ration (Kg water/ Kg dry air)</t>
  </si>
  <si>
    <t>P H20 (Kpa)</t>
  </si>
  <si>
    <t>Dew point in this hour ©</t>
  </si>
  <si>
    <t>Excess above capacity (Kg)</t>
  </si>
  <si>
    <t>Condensed water capacity this hour (Kg/hr)</t>
  </si>
  <si>
    <t xml:space="preserve">Carry over after (Kg) </t>
  </si>
  <si>
    <t>% of Condensation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</si>
</sst>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000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1" fillId="0" borderId="0" xfId="1" applyNumberFormat="1"/>
    <xf numFmtId="0" fontId="3" fillId="0" borderId="9" xfId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6" fontId="1" fillId="0" borderId="0" xfId="1" applyNumberFormat="1"/>
    <xf numFmtId="2" fontId="3" fillId="0" borderId="9" xfId="1" applyNumberFormat="1" applyFont="1" applyBorder="1" applyAlignment="1">
      <alignment horizontal="center" vertical="center"/>
    </xf>
    <xf numFmtId="9" fontId="4" fillId="0" borderId="9" xfId="0" applyNumberFormat="1" applyFont="1" applyBorder="1" applyAlignment="1" applyProtection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164" fontId="3" fillId="2" borderId="9" xfId="1" applyNumberFormat="1" applyFont="1" applyFill="1" applyBorder="1" applyAlignment="1">
      <alignment horizontal="center" vertical="center"/>
    </xf>
    <xf numFmtId="2" fontId="3" fillId="2" borderId="9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8"/>
  <sheetViews>
    <sheetView showGridLines="0" tabSelected="1" topLeftCell="B19" workbookViewId="0">
      <selection activeCell="D24" sqref="D24"/>
    </sheetView>
  </sheetViews>
  <sheetFormatPr defaultRowHeight="15" x14ac:dyDescent="0.25"/>
  <cols>
    <col min="1" max="1" width="9.140625" style="3"/>
    <col min="2" max="2" width="10.5703125" style="3" customWidth="1"/>
    <col min="3" max="3" width="31" style="4" bestFit="1" customWidth="1"/>
    <col min="4" max="4" width="20.85546875" style="4" customWidth="1"/>
    <col min="5" max="5" width="20.28515625" style="4" customWidth="1"/>
    <col min="6" max="7" width="22.140625" style="3" customWidth="1"/>
    <col min="8" max="9" width="20.85546875" style="3" customWidth="1"/>
    <col min="10" max="10" width="19.5703125" style="3" customWidth="1"/>
    <col min="11" max="11" width="9.140625" style="3"/>
    <col min="12" max="12" width="9.140625" style="3" customWidth="1"/>
    <col min="13" max="16384" width="9.140625" style="3"/>
  </cols>
  <sheetData>
    <row r="2" spans="3:9" ht="18.75" customHeight="1" x14ac:dyDescent="0.25">
      <c r="C2" s="1" t="s">
        <v>0</v>
      </c>
      <c r="D2" s="2">
        <v>2</v>
      </c>
      <c r="E2" s="1" t="s">
        <v>1</v>
      </c>
    </row>
    <row r="3" spans="3:9" ht="18.75" customHeight="1" x14ac:dyDescent="0.25"/>
    <row r="4" spans="3:9" ht="18.75" customHeight="1" x14ac:dyDescent="0.25">
      <c r="C4" s="5" t="s">
        <v>2</v>
      </c>
      <c r="D4" s="6"/>
      <c r="E4" s="7"/>
    </row>
    <row r="5" spans="3:9" ht="18.75" customHeight="1" x14ac:dyDescent="0.25">
      <c r="C5" s="8" t="s">
        <v>3</v>
      </c>
      <c r="D5" s="9">
        <v>28</v>
      </c>
      <c r="E5" s="10" t="s">
        <v>4</v>
      </c>
    </row>
    <row r="6" spans="3:9" ht="18.75" customHeight="1" x14ac:dyDescent="0.25">
      <c r="C6" s="8" t="s">
        <v>5</v>
      </c>
      <c r="D6" s="9">
        <v>18</v>
      </c>
      <c r="E6" s="10" t="s">
        <v>4</v>
      </c>
    </row>
    <row r="7" spans="3:9" ht="18.75" customHeight="1" x14ac:dyDescent="0.25">
      <c r="C7" s="8" t="s">
        <v>6</v>
      </c>
      <c r="D7" s="9">
        <v>50</v>
      </c>
      <c r="E7" s="10" t="s">
        <v>7</v>
      </c>
    </row>
    <row r="8" spans="3:9" ht="18.75" customHeight="1" x14ac:dyDescent="0.25">
      <c r="C8" s="8" t="s">
        <v>8</v>
      </c>
      <c r="D8" s="9">
        <v>3000</v>
      </c>
      <c r="E8" s="10" t="s">
        <v>7</v>
      </c>
    </row>
    <row r="9" spans="3:9" ht="18.75" customHeight="1" x14ac:dyDescent="0.25">
      <c r="C9" s="8" t="s">
        <v>9</v>
      </c>
      <c r="D9" s="11">
        <f>D7/D6</f>
        <v>2.7777777777777777</v>
      </c>
      <c r="E9" s="10" t="s">
        <v>10</v>
      </c>
    </row>
    <row r="10" spans="3:9" ht="18.75" customHeight="1" x14ac:dyDescent="0.25">
      <c r="C10" s="12" t="s">
        <v>11</v>
      </c>
      <c r="D10" s="13">
        <f>D8/D5</f>
        <v>107.14285714285714</v>
      </c>
      <c r="E10" s="14" t="s">
        <v>10</v>
      </c>
    </row>
    <row r="11" spans="3:9" ht="18.75" customHeight="1" x14ac:dyDescent="0.25"/>
    <row r="12" spans="3:9" ht="18.75" customHeight="1" x14ac:dyDescent="0.25">
      <c r="C12" s="4" t="s">
        <v>12</v>
      </c>
      <c r="D12" s="15">
        <f>D9/(SUM(D9:D10))</f>
        <v>2.5270758122743684E-2</v>
      </c>
    </row>
    <row r="13" spans="3:9" ht="18.75" customHeight="1" x14ac:dyDescent="0.25">
      <c r="C13" s="16" t="s">
        <v>13</v>
      </c>
      <c r="D13" s="16"/>
    </row>
    <row r="14" spans="3:9" ht="18.75" customHeight="1" x14ac:dyDescent="0.25">
      <c r="C14" s="8" t="s">
        <v>14</v>
      </c>
      <c r="D14" s="17">
        <v>8.0713100000000004</v>
      </c>
    </row>
    <row r="15" spans="3:9" ht="18.75" customHeight="1" x14ac:dyDescent="0.25">
      <c r="C15" s="8" t="s">
        <v>15</v>
      </c>
      <c r="D15" s="17">
        <v>1730.63</v>
      </c>
      <c r="E15" s="9"/>
    </row>
    <row r="16" spans="3:9" ht="21.75" customHeight="1" x14ac:dyDescent="0.25">
      <c r="C16" s="12" t="s">
        <v>1</v>
      </c>
      <c r="D16" s="14">
        <v>233.42599999999999</v>
      </c>
      <c r="H16" s="18"/>
      <c r="I16" s="18"/>
    </row>
    <row r="17" spans="1:11" ht="21.75" customHeight="1" x14ac:dyDescent="0.25">
      <c r="C17" s="9"/>
      <c r="D17" s="9"/>
      <c r="H17" s="18"/>
      <c r="I17" s="18"/>
    </row>
    <row r="18" spans="1:11" ht="18.75" customHeight="1" x14ac:dyDescent="0.25">
      <c r="C18" s="19" t="s">
        <v>16</v>
      </c>
      <c r="D18" s="20">
        <f>10^(D14-(D15/(D16+D2)))</f>
        <v>5.2511299699436327</v>
      </c>
      <c r="E18" s="19" t="s">
        <v>17</v>
      </c>
      <c r="H18" s="21"/>
      <c r="I18" s="21"/>
    </row>
    <row r="19" spans="1:11" ht="18.75" customHeight="1" x14ac:dyDescent="0.25">
      <c r="C19" s="19" t="s">
        <v>18</v>
      </c>
      <c r="D19" s="22">
        <f>$D$18/(760-$D$18)*($D$6/$D$5)*$D$8</f>
        <v>13.417945531134269</v>
      </c>
      <c r="E19" s="19" t="s">
        <v>19</v>
      </c>
      <c r="H19" s="21"/>
      <c r="I19" s="21"/>
    </row>
    <row r="20" spans="1:11" ht="18.75" customHeight="1" x14ac:dyDescent="0.25"/>
    <row r="21" spans="1:11" ht="20.25" customHeight="1" x14ac:dyDescent="0.25">
      <c r="C21" s="19" t="s">
        <v>20</v>
      </c>
      <c r="D21" s="23">
        <v>0.9</v>
      </c>
    </row>
    <row r="24" spans="1:11" s="27" customFormat="1" ht="51.75" customHeight="1" x14ac:dyDescent="0.25">
      <c r="A24" s="24"/>
      <c r="B24" s="25" t="s">
        <v>21</v>
      </c>
      <c r="C24" s="25" t="s">
        <v>22</v>
      </c>
      <c r="D24" s="26" t="s">
        <v>23</v>
      </c>
      <c r="E24" s="26" t="s">
        <v>24</v>
      </c>
      <c r="F24" s="26" t="s">
        <v>25</v>
      </c>
      <c r="G24" s="25" t="s">
        <v>26</v>
      </c>
      <c r="H24" s="25" t="s">
        <v>27</v>
      </c>
      <c r="I24" s="25" t="s">
        <v>28</v>
      </c>
      <c r="J24" s="25" t="s">
        <v>29</v>
      </c>
      <c r="K24" s="24"/>
    </row>
    <row r="25" spans="1:11" ht="18.75" customHeight="1" x14ac:dyDescent="0.25">
      <c r="A25" s="4"/>
      <c r="B25" s="19">
        <v>1</v>
      </c>
      <c r="C25" s="19">
        <f>D7</f>
        <v>50</v>
      </c>
      <c r="D25" s="28">
        <f t="shared" ref="D25:D31" si="0">C25/$D$8</f>
        <v>1.6666666666666666E-2</v>
      </c>
      <c r="E25" s="28">
        <f t="shared" ref="E25:E31" si="1">760*$D$5/($D$5+($D$6*1/D25))</f>
        <v>19.205776173285198</v>
      </c>
      <c r="F25" s="29">
        <f t="shared" ref="F25:F31" si="2">($D$15/($D$14-LOG10(E25))-$D$16)</f>
        <v>21.53290838483295</v>
      </c>
      <c r="G25" s="22">
        <f>C25-$D$19</f>
        <v>36.582054468865735</v>
      </c>
      <c r="H25" s="22">
        <f t="shared" ref="H25:H31" si="3">G25*$D$21</f>
        <v>32.923849021979166</v>
      </c>
      <c r="I25" s="22">
        <f t="shared" ref="I25:I31" si="4">C25-H25</f>
        <v>17.076150978020834</v>
      </c>
      <c r="J25" s="22">
        <f t="shared" ref="J25:J31" si="5">H25/$D$7%</f>
        <v>65.847698043958331</v>
      </c>
      <c r="K25" s="4"/>
    </row>
    <row r="26" spans="1:11" ht="18.75" customHeight="1" x14ac:dyDescent="0.25">
      <c r="A26" s="4"/>
      <c r="B26" s="19">
        <v>2</v>
      </c>
      <c r="C26" s="20">
        <f>$D$7+I25</f>
        <v>67.076150978020834</v>
      </c>
      <c r="D26" s="28">
        <f t="shared" si="0"/>
        <v>2.2358716992673611E-2</v>
      </c>
      <c r="E26" s="28">
        <f t="shared" si="1"/>
        <v>25.544527633884602</v>
      </c>
      <c r="F26" s="29">
        <f t="shared" si="2"/>
        <v>26.271906882953033</v>
      </c>
      <c r="G26" s="22">
        <f t="shared" ref="G26:G32" si="6">C26-$D$19</f>
        <v>53.658205446886569</v>
      </c>
      <c r="H26" s="22">
        <f t="shared" si="3"/>
        <v>48.292384902197917</v>
      </c>
      <c r="I26" s="22">
        <f t="shared" si="4"/>
        <v>18.783766075822918</v>
      </c>
      <c r="J26" s="22">
        <f t="shared" si="5"/>
        <v>96.584769804395833</v>
      </c>
      <c r="K26" s="4"/>
    </row>
    <row r="27" spans="1:11" ht="18.75" customHeight="1" x14ac:dyDescent="0.25">
      <c r="A27" s="4"/>
      <c r="B27" s="19">
        <v>3</v>
      </c>
      <c r="C27" s="20">
        <f>$D$7+I26</f>
        <v>68.783766075822911</v>
      </c>
      <c r="D27" s="28">
        <f t="shared" si="0"/>
        <v>2.2927922025274303E-2</v>
      </c>
      <c r="E27" s="28">
        <f t="shared" si="1"/>
        <v>26.172441615652495</v>
      </c>
      <c r="F27" s="29">
        <f t="shared" si="2"/>
        <v>26.683552275624606</v>
      </c>
      <c r="G27" s="22">
        <f t="shared" si="6"/>
        <v>55.365820544688646</v>
      </c>
      <c r="H27" s="22">
        <f t="shared" si="3"/>
        <v>49.82923849021978</v>
      </c>
      <c r="I27" s="22">
        <f t="shared" si="4"/>
        <v>18.954527585603131</v>
      </c>
      <c r="J27" s="22">
        <f t="shared" si="5"/>
        <v>99.658476980439559</v>
      </c>
      <c r="K27" s="4"/>
    </row>
    <row r="28" spans="1:11" ht="18.75" customHeight="1" x14ac:dyDescent="0.25">
      <c r="A28" s="4"/>
      <c r="B28" s="19">
        <v>4</v>
      </c>
      <c r="C28" s="20">
        <f>$D$7+I27</f>
        <v>68.954527585603131</v>
      </c>
      <c r="D28" s="28">
        <f t="shared" si="0"/>
        <v>2.2984842528534378E-2</v>
      </c>
      <c r="E28" s="28">
        <f t="shared" si="1"/>
        <v>26.235173967841362</v>
      </c>
      <c r="F28" s="29">
        <f t="shared" si="2"/>
        <v>26.72420483861822</v>
      </c>
      <c r="G28" s="22">
        <f t="shared" si="6"/>
        <v>55.536582054468866</v>
      </c>
      <c r="H28" s="22">
        <f t="shared" si="3"/>
        <v>49.982923849021979</v>
      </c>
      <c r="I28" s="22">
        <f t="shared" si="4"/>
        <v>18.971603736581152</v>
      </c>
      <c r="J28" s="22">
        <f t="shared" si="5"/>
        <v>99.965847698043959</v>
      </c>
      <c r="K28" s="4"/>
    </row>
    <row r="29" spans="1:11" ht="18.75" customHeight="1" x14ac:dyDescent="0.25">
      <c r="A29" s="4"/>
      <c r="B29" s="19">
        <v>5</v>
      </c>
      <c r="C29" s="20">
        <f>$D$7+I28</f>
        <v>68.971603736581159</v>
      </c>
      <c r="D29" s="28">
        <f t="shared" si="0"/>
        <v>2.2990534578860387E-2</v>
      </c>
      <c r="E29" s="28">
        <f t="shared" si="1"/>
        <v>26.241446613160655</v>
      </c>
      <c r="F29" s="29">
        <f t="shared" si="2"/>
        <v>26.728265063383162</v>
      </c>
      <c r="G29" s="22">
        <f t="shared" si="6"/>
        <v>55.553658205446894</v>
      </c>
      <c r="H29" s="22">
        <f t="shared" si="3"/>
        <v>49.998292384902207</v>
      </c>
      <c r="I29" s="22">
        <f t="shared" si="4"/>
        <v>18.973311351678952</v>
      </c>
      <c r="J29" s="22">
        <f t="shared" si="5"/>
        <v>99.996584769804414</v>
      </c>
      <c r="K29" s="4"/>
    </row>
    <row r="30" spans="1:11" ht="18.75" customHeight="1" x14ac:dyDescent="0.25">
      <c r="A30" s="4"/>
      <c r="B30" s="19">
        <v>6</v>
      </c>
      <c r="C30" s="20">
        <f t="shared" ref="C30" si="7">$D$7+I29</f>
        <v>68.973311351678944</v>
      </c>
      <c r="D30" s="28">
        <f t="shared" si="0"/>
        <v>2.2991103783892981E-2</v>
      </c>
      <c r="E30" s="28">
        <f t="shared" si="1"/>
        <v>26.242073871794137</v>
      </c>
      <c r="F30" s="29">
        <f t="shared" si="2"/>
        <v>26.728671035630782</v>
      </c>
      <c r="G30" s="22">
        <f t="shared" si="6"/>
        <v>55.555365820544679</v>
      </c>
      <c r="H30" s="22">
        <f t="shared" si="3"/>
        <v>49.999829238490214</v>
      </c>
      <c r="I30" s="22">
        <f t="shared" si="4"/>
        <v>18.97348211318873</v>
      </c>
      <c r="J30" s="22">
        <f t="shared" si="5"/>
        <v>99.999658476980429</v>
      </c>
      <c r="K30" s="4"/>
    </row>
    <row r="31" spans="1:11" ht="18.75" customHeight="1" x14ac:dyDescent="0.25">
      <c r="A31" s="4"/>
      <c r="B31" s="19">
        <v>7</v>
      </c>
      <c r="C31" s="20">
        <f>$D$7+I30</f>
        <v>68.973482113188737</v>
      </c>
      <c r="D31" s="28">
        <f t="shared" si="0"/>
        <v>2.2991160704396246E-2</v>
      </c>
      <c r="E31" s="28">
        <f t="shared" si="1"/>
        <v>26.24213659759851</v>
      </c>
      <c r="F31" s="29">
        <f t="shared" si="2"/>
        <v>26.728711632353395</v>
      </c>
      <c r="G31" s="22">
        <f t="shared" si="6"/>
        <v>55.555536582054472</v>
      </c>
      <c r="H31" s="22">
        <f t="shared" si="3"/>
        <v>49.999982923849025</v>
      </c>
      <c r="I31" s="22">
        <f t="shared" si="4"/>
        <v>18.973499189339712</v>
      </c>
      <c r="J31" s="22">
        <f t="shared" si="5"/>
        <v>99.99996584769805</v>
      </c>
      <c r="K31" s="4"/>
    </row>
    <row r="32" spans="1:11" ht="18.75" customHeight="1" x14ac:dyDescent="0.25">
      <c r="A32" s="4"/>
      <c r="B32" s="19"/>
      <c r="C32" s="19"/>
      <c r="D32" s="19"/>
      <c r="E32" s="19"/>
      <c r="F32" s="19"/>
      <c r="G32" s="19"/>
      <c r="H32" s="22"/>
      <c r="I32" s="22"/>
      <c r="J32" s="22"/>
      <c r="K32" s="4"/>
    </row>
    <row r="33" spans="1:11" x14ac:dyDescent="0.25">
      <c r="A33" s="4"/>
      <c r="B33" s="4"/>
      <c r="F33" s="4"/>
      <c r="G33" s="4"/>
      <c r="H33" s="4"/>
      <c r="I33" s="4"/>
      <c r="J33" s="4"/>
      <c r="K33" s="4"/>
    </row>
    <row r="34" spans="1:11" x14ac:dyDescent="0.25">
      <c r="A34" s="4"/>
      <c r="B34" s="4"/>
      <c r="F34" s="4"/>
      <c r="G34" s="4"/>
      <c r="H34" s="4"/>
      <c r="I34" s="4"/>
      <c r="J34" s="4"/>
      <c r="K34" s="4"/>
    </row>
    <row r="35" spans="1:11" x14ac:dyDescent="0.25">
      <c r="A35" s="4"/>
      <c r="B35" s="4"/>
      <c r="F35" s="4"/>
      <c r="G35" s="4"/>
      <c r="H35" s="4"/>
      <c r="I35" s="4"/>
      <c r="J35" s="4"/>
      <c r="K35" s="4"/>
    </row>
    <row r="36" spans="1:11" x14ac:dyDescent="0.25">
      <c r="A36" s="4"/>
      <c r="B36" s="4"/>
      <c r="F36" s="4"/>
      <c r="G36" s="4"/>
      <c r="H36" s="4"/>
      <c r="I36" s="4"/>
      <c r="J36" s="4"/>
      <c r="K36" s="4"/>
    </row>
    <row r="37" spans="1:11" x14ac:dyDescent="0.25">
      <c r="A37" s="4"/>
      <c r="B37" s="4"/>
      <c r="F37" s="4"/>
      <c r="G37" s="4"/>
      <c r="H37" s="4"/>
      <c r="I37" s="4"/>
      <c r="J37" s="4"/>
      <c r="K37" s="4"/>
    </row>
    <row r="38" spans="1:11" x14ac:dyDescent="0.25">
      <c r="A38" s="4"/>
      <c r="B38" s="4"/>
      <c r="F38" s="4"/>
      <c r="G38" s="4"/>
      <c r="H38" s="4"/>
      <c r="I38" s="4"/>
      <c r="J38" s="4"/>
      <c r="K38" s="4"/>
    </row>
    <row r="39" spans="1:11" x14ac:dyDescent="0.25">
      <c r="A39" s="4"/>
      <c r="B39" s="4"/>
      <c r="F39" s="4"/>
      <c r="G39" s="4"/>
      <c r="H39" s="4"/>
      <c r="I39" s="4"/>
      <c r="J39" s="4"/>
      <c r="K39" s="4"/>
    </row>
    <row r="40" spans="1:11" x14ac:dyDescent="0.25">
      <c r="A40" s="4"/>
      <c r="B40" s="4"/>
      <c r="F40" s="4"/>
      <c r="G40" s="4"/>
      <c r="H40" s="4"/>
      <c r="I40" s="4"/>
      <c r="J40" s="4"/>
      <c r="K40" s="4"/>
    </row>
    <row r="41" spans="1:11" x14ac:dyDescent="0.25">
      <c r="A41" s="4"/>
      <c r="B41" s="4"/>
      <c r="F41" s="4"/>
      <c r="G41" s="4"/>
      <c r="H41" s="4"/>
      <c r="I41" s="4"/>
      <c r="J41" s="4"/>
      <c r="K41" s="4"/>
    </row>
    <row r="42" spans="1:11" x14ac:dyDescent="0.25">
      <c r="A42" s="4"/>
      <c r="B42" s="4"/>
      <c r="F42" s="4"/>
      <c r="G42" s="4"/>
      <c r="H42" s="4"/>
      <c r="I42" s="4"/>
      <c r="J42" s="4"/>
      <c r="K42" s="4"/>
    </row>
    <row r="43" spans="1:11" x14ac:dyDescent="0.25">
      <c r="A43" s="4"/>
      <c r="B43" s="4"/>
      <c r="F43" s="4"/>
      <c r="G43" s="4"/>
      <c r="H43" s="4"/>
      <c r="I43" s="4"/>
      <c r="J43" s="4"/>
      <c r="K43" s="4"/>
    </row>
    <row r="44" spans="1:11" x14ac:dyDescent="0.25">
      <c r="A44" s="4"/>
      <c r="B44" s="4"/>
      <c r="F44" s="4"/>
      <c r="G44" s="4"/>
      <c r="H44" s="4"/>
      <c r="I44" s="4"/>
      <c r="J44" s="4"/>
      <c r="K44" s="4"/>
    </row>
    <row r="45" spans="1:11" x14ac:dyDescent="0.25">
      <c r="A45" s="4"/>
      <c r="B45" s="4"/>
      <c r="F45" s="4"/>
      <c r="G45" s="4"/>
      <c r="H45" s="4"/>
      <c r="I45" s="4"/>
      <c r="J45" s="4"/>
      <c r="K45" s="4"/>
    </row>
    <row r="46" spans="1:11" x14ac:dyDescent="0.25">
      <c r="A46" s="4"/>
      <c r="B46" s="4"/>
      <c r="F46" s="4"/>
      <c r="G46" s="4"/>
      <c r="H46" s="4"/>
      <c r="I46" s="4"/>
      <c r="J46" s="4"/>
      <c r="K46" s="4"/>
    </row>
    <row r="47" spans="1:11" x14ac:dyDescent="0.25">
      <c r="A47" s="4"/>
      <c r="B47" s="4"/>
      <c r="F47" s="4"/>
      <c r="G47" s="4"/>
      <c r="H47" s="4"/>
      <c r="I47" s="4"/>
      <c r="J47" s="4"/>
      <c r="K47" s="4"/>
    </row>
    <row r="48" spans="1:11" x14ac:dyDescent="0.25">
      <c r="A48" s="4"/>
      <c r="B48" s="4"/>
      <c r="F48" s="4"/>
      <c r="G48" s="4"/>
      <c r="H48" s="4"/>
      <c r="I48" s="4"/>
      <c r="J48" s="4"/>
      <c r="K48" s="4"/>
    </row>
    <row r="49" spans="1:11" x14ac:dyDescent="0.25">
      <c r="A49" s="4"/>
      <c r="B49" s="4"/>
      <c r="F49" s="4"/>
      <c r="G49" s="4"/>
      <c r="H49" s="4"/>
      <c r="I49" s="4"/>
      <c r="J49" s="4"/>
      <c r="K49" s="4"/>
    </row>
    <row r="50" spans="1:11" x14ac:dyDescent="0.25">
      <c r="A50" s="4"/>
      <c r="B50" s="4"/>
      <c r="F50" s="4"/>
      <c r="G50" s="4"/>
      <c r="H50" s="4"/>
      <c r="I50" s="4"/>
      <c r="J50" s="4"/>
      <c r="K50" s="4"/>
    </row>
    <row r="51" spans="1:11" x14ac:dyDescent="0.25">
      <c r="A51" s="4"/>
      <c r="B51" s="4"/>
      <c r="F51" s="4"/>
      <c r="G51" s="4"/>
      <c r="H51" s="4"/>
      <c r="I51" s="4"/>
      <c r="J51" s="4"/>
      <c r="K51" s="4"/>
    </row>
    <row r="52" spans="1:11" x14ac:dyDescent="0.25">
      <c r="A52" s="4"/>
      <c r="B52" s="4"/>
      <c r="F52" s="4"/>
      <c r="G52" s="4"/>
      <c r="H52" s="4"/>
      <c r="I52" s="4"/>
      <c r="J52" s="4"/>
      <c r="K52" s="4"/>
    </row>
    <row r="53" spans="1:11" x14ac:dyDescent="0.25">
      <c r="A53" s="4"/>
      <c r="B53" s="4"/>
      <c r="F53" s="4"/>
      <c r="G53" s="4"/>
      <c r="H53" s="4"/>
      <c r="I53" s="4"/>
      <c r="J53" s="4"/>
      <c r="K53" s="4"/>
    </row>
    <row r="54" spans="1:11" x14ac:dyDescent="0.25">
      <c r="A54" s="4"/>
      <c r="B54" s="4"/>
      <c r="F54" s="4"/>
      <c r="G54" s="4"/>
      <c r="H54" s="4"/>
      <c r="I54" s="4"/>
      <c r="J54" s="4"/>
      <c r="K54" s="4"/>
    </row>
    <row r="55" spans="1:11" x14ac:dyDescent="0.25">
      <c r="A55" s="4"/>
      <c r="B55" s="4"/>
      <c r="F55" s="4"/>
      <c r="G55" s="4"/>
      <c r="H55" s="4"/>
      <c r="I55" s="4"/>
      <c r="J55" s="4"/>
      <c r="K55" s="4"/>
    </row>
    <row r="56" spans="1:11" x14ac:dyDescent="0.25">
      <c r="A56" s="4"/>
      <c r="B56" s="4"/>
      <c r="F56" s="4"/>
      <c r="G56" s="4"/>
      <c r="H56" s="4"/>
      <c r="I56" s="4"/>
      <c r="J56" s="4"/>
      <c r="K56" s="4"/>
    </row>
    <row r="57" spans="1:11" x14ac:dyDescent="0.25">
      <c r="A57" s="4"/>
      <c r="B57" s="4"/>
      <c r="F57" s="4"/>
      <c r="G57" s="4"/>
      <c r="H57" s="4"/>
      <c r="I57" s="4"/>
      <c r="J57" s="4"/>
      <c r="K57" s="4"/>
    </row>
    <row r="58" spans="1:11" x14ac:dyDescent="0.25">
      <c r="A58" s="4"/>
      <c r="B58" s="4"/>
      <c r="F58" s="4"/>
      <c r="G58" s="4"/>
      <c r="H58" s="4"/>
      <c r="I58" s="4"/>
      <c r="J58" s="4"/>
      <c r="K58" s="4"/>
    </row>
    <row r="59" spans="1:11" x14ac:dyDescent="0.25">
      <c r="A59" s="4"/>
      <c r="B59" s="4"/>
      <c r="F59" s="4"/>
      <c r="G59" s="4"/>
      <c r="H59" s="4"/>
      <c r="I59" s="4"/>
      <c r="J59" s="4"/>
      <c r="K59" s="4"/>
    </row>
    <row r="60" spans="1:11" x14ac:dyDescent="0.25">
      <c r="A60" s="4"/>
      <c r="B60" s="4"/>
      <c r="F60" s="4"/>
      <c r="G60" s="4"/>
      <c r="H60" s="4"/>
      <c r="I60" s="4"/>
      <c r="J60" s="4"/>
      <c r="K60" s="4"/>
    </row>
    <row r="61" spans="1:11" x14ac:dyDescent="0.25">
      <c r="A61" s="4"/>
      <c r="B61" s="4"/>
      <c r="F61" s="4"/>
      <c r="G61" s="4"/>
      <c r="H61" s="4"/>
      <c r="I61" s="4"/>
      <c r="J61" s="4"/>
      <c r="K61" s="4"/>
    </row>
    <row r="62" spans="1:11" x14ac:dyDescent="0.25">
      <c r="A62" s="4"/>
      <c r="B62" s="4"/>
      <c r="F62" s="4"/>
      <c r="G62" s="4"/>
      <c r="H62" s="4"/>
      <c r="I62" s="4"/>
      <c r="J62" s="4"/>
      <c r="K62" s="4"/>
    </row>
    <row r="63" spans="1:11" x14ac:dyDescent="0.25">
      <c r="A63" s="4"/>
      <c r="B63" s="4"/>
      <c r="F63" s="4"/>
      <c r="G63" s="4"/>
      <c r="H63" s="4"/>
      <c r="I63" s="4"/>
      <c r="J63" s="4"/>
      <c r="K63" s="4"/>
    </row>
    <row r="64" spans="1:11" x14ac:dyDescent="0.25">
      <c r="A64" s="4"/>
      <c r="B64" s="4"/>
      <c r="F64" s="4"/>
      <c r="G64" s="4"/>
      <c r="H64" s="4"/>
      <c r="I64" s="4"/>
      <c r="J64" s="4"/>
      <c r="K64" s="4"/>
    </row>
    <row r="65" spans="1:11" x14ac:dyDescent="0.25">
      <c r="A65" s="4"/>
      <c r="B65" s="4"/>
      <c r="F65" s="4"/>
      <c r="G65" s="4"/>
      <c r="H65" s="4"/>
      <c r="I65" s="4"/>
      <c r="J65" s="4"/>
      <c r="K65" s="4"/>
    </row>
    <row r="66" spans="1:11" x14ac:dyDescent="0.25">
      <c r="A66" s="4"/>
      <c r="B66" s="4"/>
      <c r="F66" s="4"/>
      <c r="G66" s="4"/>
      <c r="H66" s="4"/>
      <c r="I66" s="4"/>
      <c r="J66" s="4"/>
      <c r="K66" s="4"/>
    </row>
    <row r="67" spans="1:11" x14ac:dyDescent="0.25">
      <c r="A67" s="4"/>
      <c r="B67" s="4"/>
      <c r="F67" s="4"/>
      <c r="G67" s="4"/>
      <c r="H67" s="4"/>
      <c r="I67" s="4"/>
      <c r="J67" s="4"/>
      <c r="K67" s="4"/>
    </row>
    <row r="68" spans="1:11" x14ac:dyDescent="0.25">
      <c r="A68" s="4"/>
      <c r="B68" s="4"/>
      <c r="F68" s="4"/>
      <c r="G68" s="4"/>
      <c r="H68" s="4"/>
      <c r="I68" s="4"/>
      <c r="J68" s="4"/>
      <c r="K68" s="4"/>
    </row>
    <row r="69" spans="1:11" x14ac:dyDescent="0.25">
      <c r="A69" s="4"/>
      <c r="B69" s="4"/>
      <c r="F69" s="4"/>
      <c r="G69" s="4"/>
      <c r="H69" s="4"/>
      <c r="I69" s="4"/>
      <c r="J69" s="4"/>
      <c r="K69" s="4"/>
    </row>
    <row r="70" spans="1:11" x14ac:dyDescent="0.25">
      <c r="A70" s="4"/>
      <c r="B70" s="4"/>
      <c r="F70" s="4"/>
      <c r="G70" s="4"/>
      <c r="H70" s="4"/>
      <c r="I70" s="4"/>
      <c r="J70" s="4"/>
      <c r="K70" s="4"/>
    </row>
    <row r="71" spans="1:11" x14ac:dyDescent="0.25">
      <c r="A71" s="4"/>
      <c r="B71" s="4"/>
      <c r="F71" s="4"/>
      <c r="G71" s="4"/>
      <c r="H71" s="4"/>
      <c r="I71" s="4"/>
      <c r="J71" s="4"/>
      <c r="K71" s="4"/>
    </row>
    <row r="72" spans="1:11" x14ac:dyDescent="0.25">
      <c r="A72" s="4"/>
      <c r="B72" s="4"/>
      <c r="F72" s="4"/>
      <c r="G72" s="4"/>
      <c r="H72" s="4"/>
      <c r="I72" s="4"/>
      <c r="J72" s="4"/>
      <c r="K72" s="4"/>
    </row>
    <row r="73" spans="1:11" x14ac:dyDescent="0.25">
      <c r="A73" s="4"/>
      <c r="B73" s="4"/>
      <c r="F73" s="4"/>
      <c r="G73" s="4"/>
      <c r="H73" s="4"/>
      <c r="I73" s="4"/>
      <c r="J73" s="4"/>
      <c r="K73" s="4"/>
    </row>
    <row r="74" spans="1:11" x14ac:dyDescent="0.25">
      <c r="A74" s="4"/>
      <c r="B74" s="4"/>
      <c r="F74" s="4"/>
      <c r="G74" s="4"/>
      <c r="H74" s="4"/>
      <c r="I74" s="4"/>
      <c r="J74" s="4"/>
      <c r="K74" s="4"/>
    </row>
    <row r="75" spans="1:11" x14ac:dyDescent="0.25">
      <c r="A75" s="4"/>
      <c r="B75" s="4"/>
      <c r="F75" s="4"/>
      <c r="G75" s="4"/>
      <c r="H75" s="4"/>
      <c r="I75" s="4"/>
      <c r="J75" s="4"/>
      <c r="K75" s="4"/>
    </row>
    <row r="76" spans="1:11" x14ac:dyDescent="0.25">
      <c r="A76" s="4"/>
      <c r="B76" s="4"/>
      <c r="F76" s="4"/>
      <c r="G76" s="4"/>
      <c r="H76" s="4"/>
      <c r="I76" s="4"/>
      <c r="J76" s="4"/>
      <c r="K76" s="4"/>
    </row>
    <row r="77" spans="1:11" x14ac:dyDescent="0.25">
      <c r="A77" s="4"/>
      <c r="B77" s="4"/>
      <c r="F77" s="4"/>
      <c r="G77" s="4"/>
      <c r="H77" s="4"/>
      <c r="I77" s="4"/>
      <c r="J77" s="4"/>
      <c r="K77" s="4"/>
    </row>
    <row r="78" spans="1:11" x14ac:dyDescent="0.25">
      <c r="A78" s="4"/>
      <c r="B78" s="4"/>
      <c r="F78" s="4"/>
      <c r="G78" s="4"/>
      <c r="H78" s="4"/>
      <c r="I78" s="4"/>
      <c r="J78" s="4"/>
      <c r="K78" s="4"/>
    </row>
  </sheetData>
  <mergeCells count="2">
    <mergeCell ref="C4:E4"/>
    <mergeCell ref="C13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Chiller capacity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2026-07-15T09:05:33Z</dcterms:modified>
</cp:coreProperties>
</file>