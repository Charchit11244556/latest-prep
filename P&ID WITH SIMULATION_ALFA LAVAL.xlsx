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 SIVA NAGARAJU\RFP\PRODUCTS\UROLITHIN A\P&amp;ID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1" i="1" l="1"/>
  <c r="O32" i="1" l="1"/>
  <c r="AK18" i="1"/>
  <c r="F23" i="1"/>
  <c r="T5" i="1"/>
  <c r="AB49" i="1" l="1"/>
  <c r="AB50" i="1" s="1"/>
  <c r="AB51" i="1" s="1"/>
  <c r="AB52" i="1" s="1"/>
  <c r="H4" i="1"/>
  <c r="O26" i="1"/>
  <c r="G25" i="1"/>
  <c r="H5" i="1" l="1"/>
</calcChain>
</file>

<file path=xl/sharedStrings.xml><?xml version="1.0" encoding="utf-8"?>
<sst xmlns="http://schemas.openxmlformats.org/spreadsheetml/2006/main" count="50" uniqueCount="29">
  <si>
    <t>Kg/Hour</t>
  </si>
  <si>
    <r>
      <rPr>
        <sz val="11"/>
        <color theme="1"/>
        <rFont val="Calibri"/>
        <family val="2"/>
      </rPr>
      <t>°</t>
    </r>
    <r>
      <rPr>
        <sz val="9.9"/>
        <color theme="1"/>
        <rFont val="Calibri"/>
        <family val="2"/>
      </rPr>
      <t>C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</si>
  <si>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</si>
  <si>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Sec</t>
  </si>
  <si>
    <t>Inlet</t>
  </si>
  <si>
    <t>Outlet</t>
  </si>
  <si>
    <t>Chamber Volume</t>
  </si>
  <si>
    <t>Residence Time</t>
  </si>
  <si>
    <t xml:space="preserve">Outlet </t>
  </si>
  <si>
    <t>KW</t>
  </si>
  <si>
    <t>Feed</t>
  </si>
  <si>
    <t>Load</t>
  </si>
  <si>
    <t>%</t>
  </si>
  <si>
    <t>Prroduct</t>
  </si>
  <si>
    <t>Kg/Batch</t>
  </si>
  <si>
    <t>Feed Time</t>
  </si>
  <si>
    <t>Hours</t>
  </si>
  <si>
    <t>Heat Load</t>
  </si>
  <si>
    <t>KJ/Hour</t>
  </si>
  <si>
    <t>% Condensation</t>
  </si>
  <si>
    <t>Uncondensed Water Vapour</t>
  </si>
  <si>
    <t>Overall Feed</t>
  </si>
  <si>
    <t>Kg/Month</t>
  </si>
  <si>
    <t>MT/Annum</t>
  </si>
  <si>
    <t>Two Stage Chiller</t>
  </si>
  <si>
    <t>Heater</t>
  </si>
  <si>
    <t>HEPA</t>
  </si>
  <si>
    <t>FD Blower</t>
  </si>
  <si>
    <t>ID Blower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</si>
</sst>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.9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1" fontId="0" fillId="3" borderId="0" xfId="0" applyNumberForma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2" borderId="0" xfId="0" applyFill="1" applyBorder="1" applyAlignment="1">
      <alignment horizontal="center"/>
    </xf>
    <xf numFmtId="0" fontId="0" fillId="0" borderId="5" xfId="0" applyBorder="1"/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0" xfId="0" applyFont="1" applyFill="1" applyBorder="1" applyAlignment="1">
      <alignment horizontal="center"/>
    </xf>
    <xf numFmtId="164" fontId="0" fillId="0" borderId="0" xfId="0" applyNumberFormat="1"/>
    <xf numFmtId="165" fontId="0" fillId="3" borderId="0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1" fontId="0" fillId="3" borderId="0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177800</xdr:colOff>
      <xdr:row>23</xdr:row>
      <xdr:rowOff>0</xdr:rowOff>
    </xdr:from>
    <xdr:to>
      <xdr:col>24</xdr:col>
      <xdr:colOff>482600</xdr:colOff>
      <xdr:row>25</xdr:row>
      <xdr:rowOff>127000</xdr:rowOff>
    </xdr:to>
    <xdr:sp macro="" textlink="">
      <xdr:nvSpPr>
        <xdr:cNvPr id="83" name="Rectangle 82"/>
        <xdr:cNvSpPr/>
      </xdr:nvSpPr>
      <xdr:spPr>
        <a:xfrm>
          <a:off x="13589000" y="3048000"/>
          <a:ext cx="1524000" cy="5334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10886</xdr:colOff>
      <xdr:row>30</xdr:row>
      <xdr:rowOff>9071</xdr:rowOff>
    </xdr:from>
    <xdr:to>
      <xdr:col>28</xdr:col>
      <xdr:colOff>0</xdr:colOff>
      <xdr:row>38</xdr:row>
      <xdr:rowOff>0</xdr:rowOff>
    </xdr:to>
    <xdr:sp macro="" textlink="">
      <xdr:nvSpPr>
        <xdr:cNvPr id="3" name="Rectangle 2"/>
        <xdr:cNvSpPr/>
      </xdr:nvSpPr>
      <xdr:spPr>
        <a:xfrm>
          <a:off x="7912100" y="2911928"/>
          <a:ext cx="1204686" cy="1442358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6350</xdr:colOff>
      <xdr:row>17</xdr:row>
      <xdr:rowOff>6350</xdr:rowOff>
    </xdr:from>
    <xdr:to>
      <xdr:col>20</xdr:col>
      <xdr:colOff>0</xdr:colOff>
      <xdr:row>40</xdr:row>
      <xdr:rowOff>152400</xdr:rowOff>
    </xdr:to>
    <xdr:grpSp>
      <xdr:nvGrpSpPr>
        <xdr:cNvPr id="105" name="Group 104"/>
        <xdr:cNvGrpSpPr/>
      </xdr:nvGrpSpPr>
      <xdr:grpSpPr>
        <a:xfrm>
          <a:off x="9245600" y="3244850"/>
          <a:ext cx="2406650" cy="4543425"/>
          <a:chOff x="9759950" y="1911350"/>
          <a:chExt cx="2432050" cy="4552950"/>
        </a:xfrm>
      </xdr:grpSpPr>
      <xdr:sp macro="" textlink="">
        <xdr:nvSpPr>
          <xdr:cNvPr id="2" name="Rectangle 1"/>
          <xdr:cNvSpPr/>
        </xdr:nvSpPr>
        <xdr:spPr>
          <a:xfrm>
            <a:off x="9759950" y="1911350"/>
            <a:ext cx="2432050" cy="2576830"/>
          </a:xfrm>
          <a:prstGeom prst="rect">
            <a:avLst/>
          </a:prstGeom>
          <a:ln w="19050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5" name="Straight Connector 4"/>
          <xdr:cNvCxnSpPr/>
        </xdr:nvCxnSpPr>
        <xdr:spPr>
          <a:xfrm>
            <a:off x="9759950" y="4495800"/>
            <a:ext cx="1073150" cy="19685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Connector 5"/>
          <xdr:cNvCxnSpPr/>
        </xdr:nvCxnSpPr>
        <xdr:spPr>
          <a:xfrm flipH="1">
            <a:off x="11107737" y="4497388"/>
            <a:ext cx="1080454" cy="1965325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/>
          <xdr:cNvCxnSpPr/>
        </xdr:nvCxnSpPr>
        <xdr:spPr>
          <a:xfrm>
            <a:off x="10833100" y="6464300"/>
            <a:ext cx="274320" cy="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118510</xdr:colOff>
      <xdr:row>38</xdr:row>
      <xdr:rowOff>43824</xdr:rowOff>
    </xdr:from>
    <xdr:to>
      <xdr:col>20</xdr:col>
      <xdr:colOff>181838</xdr:colOff>
      <xdr:row>42</xdr:row>
      <xdr:rowOff>78069</xdr:rowOff>
    </xdr:to>
    <xdr:sp macro="" textlink="">
      <xdr:nvSpPr>
        <xdr:cNvPr id="18" name="Arc 17"/>
        <xdr:cNvSpPr/>
      </xdr:nvSpPr>
      <xdr:spPr>
        <a:xfrm rot="10395692">
          <a:off x="3174448" y="4425324"/>
          <a:ext cx="1285703" cy="764495"/>
        </a:xfrm>
        <a:prstGeom prst="arc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192089</xdr:colOff>
      <xdr:row>31</xdr:row>
      <xdr:rowOff>47624</xdr:rowOff>
    </xdr:from>
    <xdr:to>
      <xdr:col>24</xdr:col>
      <xdr:colOff>95250</xdr:colOff>
      <xdr:row>42</xdr:row>
      <xdr:rowOff>73025</xdr:rowOff>
    </xdr:to>
    <xdr:cxnSp macro="">
      <xdr:nvCxnSpPr>
        <xdr:cNvPr id="19" name="Straight Connector 18"/>
        <xdr:cNvCxnSpPr/>
      </xdr:nvCxnSpPr>
      <xdr:spPr>
        <a:xfrm flipH="1">
          <a:off x="3859214" y="3151187"/>
          <a:ext cx="2959099" cy="2033588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343512</xdr:colOff>
      <xdr:row>32</xdr:row>
      <xdr:rowOff>136072</xdr:rowOff>
    </xdr:from>
    <xdr:to>
      <xdr:col>24</xdr:col>
      <xdr:colOff>127000</xdr:colOff>
      <xdr:row>43</xdr:row>
      <xdr:rowOff>152445</xdr:rowOff>
    </xdr:to>
    <xdr:cxnSp macro="">
      <xdr:nvCxnSpPr>
        <xdr:cNvPr id="21" name="Straight Connector 20"/>
        <xdr:cNvCxnSpPr>
          <a:endCxn id="22" idx="0"/>
        </xdr:cNvCxnSpPr>
      </xdr:nvCxnSpPr>
      <xdr:spPr>
        <a:xfrm flipH="1">
          <a:off x="3990226" y="3401786"/>
          <a:ext cx="2822417" cy="2012088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458790</xdr:colOff>
      <xdr:row>36</xdr:row>
      <xdr:rowOff>85310</xdr:rowOff>
    </xdr:from>
    <xdr:to>
      <xdr:col>21</xdr:col>
      <xdr:colOff>70793</xdr:colOff>
      <xdr:row>43</xdr:row>
      <xdr:rowOff>157079</xdr:rowOff>
    </xdr:to>
    <xdr:sp macro="" textlink="">
      <xdr:nvSpPr>
        <xdr:cNvPr id="22" name="Arc 21"/>
        <xdr:cNvSpPr/>
      </xdr:nvSpPr>
      <xdr:spPr>
        <a:xfrm rot="10395692">
          <a:off x="2903540" y="4101685"/>
          <a:ext cx="2056753" cy="1349707"/>
        </a:xfrm>
        <a:prstGeom prst="arc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81641</xdr:colOff>
      <xdr:row>31</xdr:row>
      <xdr:rowOff>45356</xdr:rowOff>
    </xdr:from>
    <xdr:to>
      <xdr:col>26</xdr:col>
      <xdr:colOff>9072</xdr:colOff>
      <xdr:row>31</xdr:row>
      <xdr:rowOff>45356</xdr:rowOff>
    </xdr:to>
    <xdr:cxnSp macro="">
      <xdr:nvCxnSpPr>
        <xdr:cNvPr id="31" name="Straight Connector 30"/>
        <xdr:cNvCxnSpPr/>
      </xdr:nvCxnSpPr>
      <xdr:spPr>
        <a:xfrm flipV="1">
          <a:off x="6767284" y="3129642"/>
          <a:ext cx="1143002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116113</xdr:colOff>
      <xdr:row>32</xdr:row>
      <xdr:rowOff>134258</xdr:rowOff>
    </xdr:from>
    <xdr:to>
      <xdr:col>26</xdr:col>
      <xdr:colOff>0</xdr:colOff>
      <xdr:row>32</xdr:row>
      <xdr:rowOff>134258</xdr:rowOff>
    </xdr:to>
    <xdr:cxnSp macro="">
      <xdr:nvCxnSpPr>
        <xdr:cNvPr id="33" name="Straight Connector 32"/>
        <xdr:cNvCxnSpPr/>
      </xdr:nvCxnSpPr>
      <xdr:spPr>
        <a:xfrm>
          <a:off x="6801756" y="3399972"/>
          <a:ext cx="1099458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477157</xdr:colOff>
      <xdr:row>45</xdr:row>
      <xdr:rowOff>168728</xdr:rowOff>
    </xdr:from>
    <xdr:to>
      <xdr:col>27</xdr:col>
      <xdr:colOff>141877</xdr:colOff>
      <xdr:row>45</xdr:row>
      <xdr:rowOff>168728</xdr:rowOff>
    </xdr:to>
    <xdr:cxnSp macro="">
      <xdr:nvCxnSpPr>
        <xdr:cNvPr id="39" name="Straight Connector 38"/>
        <xdr:cNvCxnSpPr/>
      </xdr:nvCxnSpPr>
      <xdr:spPr>
        <a:xfrm>
          <a:off x="8378371" y="5793014"/>
          <a:ext cx="272506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37</xdr:row>
      <xdr:rowOff>172357</xdr:rowOff>
    </xdr:from>
    <xdr:to>
      <xdr:col>26</xdr:col>
      <xdr:colOff>480786</xdr:colOff>
      <xdr:row>45</xdr:row>
      <xdr:rowOff>163285</xdr:rowOff>
    </xdr:to>
    <xdr:cxnSp macro="">
      <xdr:nvCxnSpPr>
        <xdr:cNvPr id="40" name="Straight Connector 39"/>
        <xdr:cNvCxnSpPr/>
      </xdr:nvCxnSpPr>
      <xdr:spPr>
        <a:xfrm>
          <a:off x="7901214" y="4345214"/>
          <a:ext cx="480786" cy="1442357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136072</xdr:colOff>
      <xdr:row>38</xdr:row>
      <xdr:rowOff>9072</xdr:rowOff>
    </xdr:from>
    <xdr:to>
      <xdr:col>28</xdr:col>
      <xdr:colOff>8212</xdr:colOff>
      <xdr:row>45</xdr:row>
      <xdr:rowOff>172357</xdr:rowOff>
    </xdr:to>
    <xdr:cxnSp macro="">
      <xdr:nvCxnSpPr>
        <xdr:cNvPr id="42" name="Straight Connector 41"/>
        <xdr:cNvCxnSpPr/>
      </xdr:nvCxnSpPr>
      <xdr:spPr>
        <a:xfrm flipH="1">
          <a:off x="8645072" y="4363358"/>
          <a:ext cx="479926" cy="143328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15</xdr:row>
      <xdr:rowOff>139700</xdr:rowOff>
    </xdr:from>
    <xdr:to>
      <xdr:col>3</xdr:col>
      <xdr:colOff>228600</xdr:colOff>
      <xdr:row>20</xdr:row>
      <xdr:rowOff>101600</xdr:rowOff>
    </xdr:to>
    <xdr:grpSp>
      <xdr:nvGrpSpPr>
        <xdr:cNvPr id="50" name="Group 49"/>
        <xdr:cNvGrpSpPr/>
      </xdr:nvGrpSpPr>
      <xdr:grpSpPr>
        <a:xfrm>
          <a:off x="723900" y="2997200"/>
          <a:ext cx="901700" cy="914400"/>
          <a:chOff x="850900" y="927100"/>
          <a:chExt cx="914400" cy="914400"/>
        </a:xfrm>
      </xdr:grpSpPr>
      <xdr:sp macro="" textlink="">
        <xdr:nvSpPr>
          <xdr:cNvPr id="47" name="Oval 46"/>
          <xdr:cNvSpPr/>
        </xdr:nvSpPr>
        <xdr:spPr>
          <a:xfrm>
            <a:off x="850900" y="927100"/>
            <a:ext cx="914400" cy="914400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8" name="Oval 47"/>
          <xdr:cNvSpPr/>
        </xdr:nvSpPr>
        <xdr:spPr>
          <a:xfrm flipH="1" flipV="1">
            <a:off x="1130300" y="1193800"/>
            <a:ext cx="365760" cy="365760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9" name="Oval 48"/>
          <xdr:cNvSpPr/>
        </xdr:nvSpPr>
        <xdr:spPr>
          <a:xfrm flipH="1" flipV="1">
            <a:off x="1231900" y="1282700"/>
            <a:ext cx="182880" cy="182880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16</xdr:col>
      <xdr:colOff>12700</xdr:colOff>
      <xdr:row>15</xdr:row>
      <xdr:rowOff>76200</xdr:rowOff>
    </xdr:from>
    <xdr:to>
      <xdr:col>19</xdr:col>
      <xdr:colOff>607060</xdr:colOff>
      <xdr:row>17</xdr:row>
      <xdr:rowOff>15240</xdr:rowOff>
    </xdr:to>
    <xdr:sp macro="" textlink="">
      <xdr:nvSpPr>
        <xdr:cNvPr id="51" name="Rectangle 50"/>
        <xdr:cNvSpPr/>
      </xdr:nvSpPr>
      <xdr:spPr>
        <a:xfrm>
          <a:off x="4279900" y="1600200"/>
          <a:ext cx="2423160" cy="32004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317500</xdr:colOff>
      <xdr:row>15</xdr:row>
      <xdr:rowOff>76200</xdr:rowOff>
    </xdr:from>
    <xdr:to>
      <xdr:col>16</xdr:col>
      <xdr:colOff>12700</xdr:colOff>
      <xdr:row>17</xdr:row>
      <xdr:rowOff>15240</xdr:rowOff>
    </xdr:to>
    <xdr:sp macro="" textlink="">
      <xdr:nvSpPr>
        <xdr:cNvPr id="52" name="Rectangle 51"/>
        <xdr:cNvSpPr/>
      </xdr:nvSpPr>
      <xdr:spPr>
        <a:xfrm>
          <a:off x="3365500" y="1600200"/>
          <a:ext cx="914400" cy="32004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469900</xdr:colOff>
      <xdr:row>13</xdr:row>
      <xdr:rowOff>0</xdr:rowOff>
    </xdr:from>
    <xdr:to>
      <xdr:col>14</xdr:col>
      <xdr:colOff>317500</xdr:colOff>
      <xdr:row>19</xdr:row>
      <xdr:rowOff>165100</xdr:rowOff>
    </xdr:to>
    <xdr:grpSp>
      <xdr:nvGrpSpPr>
        <xdr:cNvPr id="125" name="Group 124"/>
        <xdr:cNvGrpSpPr/>
      </xdr:nvGrpSpPr>
      <xdr:grpSpPr>
        <a:xfrm>
          <a:off x="6692900" y="2476500"/>
          <a:ext cx="1657350" cy="1308100"/>
          <a:chOff x="7175500" y="1714500"/>
          <a:chExt cx="1676400" cy="1308100"/>
        </a:xfrm>
      </xdr:grpSpPr>
      <xdr:grpSp>
        <xdr:nvGrpSpPr>
          <xdr:cNvPr id="55" name="Group 54"/>
          <xdr:cNvGrpSpPr/>
        </xdr:nvGrpSpPr>
        <xdr:grpSpPr>
          <a:xfrm>
            <a:off x="7754620" y="1721555"/>
            <a:ext cx="500380" cy="1288345"/>
            <a:chOff x="3093720" y="1264920"/>
            <a:chExt cx="457200" cy="1097280"/>
          </a:xfrm>
        </xdr:grpSpPr>
        <xdr:sp macro="" textlink="">
          <xdr:nvSpPr>
            <xdr:cNvPr id="54" name="Rectangle 53"/>
            <xdr:cNvSpPr/>
          </xdr:nvSpPr>
          <xdr:spPr>
            <a:xfrm rot="5400000">
              <a:off x="2773680" y="1584960"/>
              <a:ext cx="1097280" cy="457200"/>
            </a:xfrm>
            <a:prstGeom prst="rect">
              <a:avLst/>
            </a:prstGeom>
            <a:ln w="19050"/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3" name="Rectangle 52"/>
            <xdr:cNvSpPr/>
          </xdr:nvSpPr>
          <xdr:spPr>
            <a:xfrm rot="5400000">
              <a:off x="2870200" y="1651000"/>
              <a:ext cx="914400" cy="320040"/>
            </a:xfrm>
            <a:prstGeom prst="rect">
              <a:avLst/>
            </a:prstGeom>
            <a:ln w="19050"/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57" name="Straight Connector 56"/>
          <xdr:cNvCxnSpPr/>
        </xdr:nvCxnSpPr>
        <xdr:spPr>
          <a:xfrm>
            <a:off x="8255000" y="1727200"/>
            <a:ext cx="596900" cy="4318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Connector 57"/>
          <xdr:cNvCxnSpPr/>
        </xdr:nvCxnSpPr>
        <xdr:spPr>
          <a:xfrm flipV="1">
            <a:off x="8229600" y="2476500"/>
            <a:ext cx="609600" cy="5334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Straight Connector 62"/>
          <xdr:cNvCxnSpPr/>
        </xdr:nvCxnSpPr>
        <xdr:spPr>
          <a:xfrm flipV="1">
            <a:off x="7188200" y="1714500"/>
            <a:ext cx="584200" cy="5207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Straight Connector 64"/>
          <xdr:cNvCxnSpPr/>
        </xdr:nvCxnSpPr>
        <xdr:spPr>
          <a:xfrm>
            <a:off x="7175500" y="2540000"/>
            <a:ext cx="609600" cy="4826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190500</xdr:colOff>
      <xdr:row>15</xdr:row>
      <xdr:rowOff>139700</xdr:rowOff>
    </xdr:from>
    <xdr:to>
      <xdr:col>11</xdr:col>
      <xdr:colOff>495300</xdr:colOff>
      <xdr:row>17</xdr:row>
      <xdr:rowOff>78740</xdr:rowOff>
    </xdr:to>
    <xdr:sp macro="" textlink="">
      <xdr:nvSpPr>
        <xdr:cNvPr id="67" name="Rectangle 66"/>
        <xdr:cNvSpPr/>
      </xdr:nvSpPr>
      <xdr:spPr>
        <a:xfrm>
          <a:off x="2019300" y="1663700"/>
          <a:ext cx="914400" cy="32004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355600</xdr:colOff>
      <xdr:row>13</xdr:row>
      <xdr:rowOff>0</xdr:rowOff>
    </xdr:from>
    <xdr:to>
      <xdr:col>10</xdr:col>
      <xdr:colOff>203200</xdr:colOff>
      <xdr:row>20</xdr:row>
      <xdr:rowOff>130629</xdr:rowOff>
    </xdr:to>
    <xdr:grpSp>
      <xdr:nvGrpSpPr>
        <xdr:cNvPr id="134" name="Group 133"/>
        <xdr:cNvGrpSpPr/>
      </xdr:nvGrpSpPr>
      <xdr:grpSpPr>
        <a:xfrm>
          <a:off x="2355850" y="2476500"/>
          <a:ext cx="3467100" cy="1464129"/>
          <a:chOff x="2794000" y="2095500"/>
          <a:chExt cx="3505200" cy="1464129"/>
        </a:xfrm>
      </xdr:grpSpPr>
      <xdr:sp macro="" textlink="">
        <xdr:nvSpPr>
          <xdr:cNvPr id="73" name="Rectangle 72"/>
          <xdr:cNvSpPr/>
        </xdr:nvSpPr>
        <xdr:spPr>
          <a:xfrm>
            <a:off x="3644900" y="2095500"/>
            <a:ext cx="1841500" cy="1464129"/>
          </a:xfrm>
          <a:prstGeom prst="rect">
            <a:avLst/>
          </a:prstGeom>
          <a:ln w="19050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74" name="Straight Connector 73"/>
          <xdr:cNvCxnSpPr/>
        </xdr:nvCxnSpPr>
        <xdr:spPr>
          <a:xfrm>
            <a:off x="5461000" y="2095500"/>
            <a:ext cx="838200" cy="5207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Straight Connector 75"/>
          <xdr:cNvCxnSpPr/>
        </xdr:nvCxnSpPr>
        <xdr:spPr>
          <a:xfrm flipV="1">
            <a:off x="5486400" y="2908300"/>
            <a:ext cx="800100" cy="6477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Straight Connector 78"/>
          <xdr:cNvCxnSpPr/>
        </xdr:nvCxnSpPr>
        <xdr:spPr>
          <a:xfrm>
            <a:off x="2794000" y="3022600"/>
            <a:ext cx="838200" cy="5207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" name="Straight Connector 79"/>
          <xdr:cNvCxnSpPr/>
        </xdr:nvCxnSpPr>
        <xdr:spPr>
          <a:xfrm flipV="1">
            <a:off x="2832100" y="2095500"/>
            <a:ext cx="800100" cy="6477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76200</xdr:colOff>
      <xdr:row>16</xdr:row>
      <xdr:rowOff>63500</xdr:rowOff>
    </xdr:from>
    <xdr:to>
      <xdr:col>4</xdr:col>
      <xdr:colOff>381000</xdr:colOff>
      <xdr:row>18</xdr:row>
      <xdr:rowOff>2540</xdr:rowOff>
    </xdr:to>
    <xdr:sp macro="" textlink="">
      <xdr:nvSpPr>
        <xdr:cNvPr id="81" name="Rectangle 80"/>
        <xdr:cNvSpPr/>
      </xdr:nvSpPr>
      <xdr:spPr>
        <a:xfrm>
          <a:off x="685800" y="1778000"/>
          <a:ext cx="914400" cy="32004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508000</xdr:colOff>
      <xdr:row>18</xdr:row>
      <xdr:rowOff>152400</xdr:rowOff>
    </xdr:from>
    <xdr:to>
      <xdr:col>24</xdr:col>
      <xdr:colOff>203200</xdr:colOff>
      <xdr:row>23</xdr:row>
      <xdr:rowOff>114300</xdr:rowOff>
    </xdr:to>
    <xdr:sp macro="" textlink="">
      <xdr:nvSpPr>
        <xdr:cNvPr id="82" name="Oval 81"/>
        <xdr:cNvSpPr/>
      </xdr:nvSpPr>
      <xdr:spPr>
        <a:xfrm>
          <a:off x="13919200" y="2247900"/>
          <a:ext cx="914400" cy="914400"/>
        </a:xfrm>
        <a:prstGeom prst="ellipse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342900</xdr:colOff>
      <xdr:row>12</xdr:row>
      <xdr:rowOff>114300</xdr:rowOff>
    </xdr:from>
    <xdr:to>
      <xdr:col>23</xdr:col>
      <xdr:colOff>342900</xdr:colOff>
      <xdr:row>18</xdr:row>
      <xdr:rowOff>152400</xdr:rowOff>
    </xdr:to>
    <xdr:cxnSp macro="">
      <xdr:nvCxnSpPr>
        <xdr:cNvPr id="85" name="Straight Connector 84"/>
        <xdr:cNvCxnSpPr>
          <a:stCxn id="82" idx="0"/>
        </xdr:cNvCxnSpPr>
      </xdr:nvCxnSpPr>
      <xdr:spPr>
        <a:xfrm flipH="1" flipV="1">
          <a:off x="14363700" y="1066800"/>
          <a:ext cx="0" cy="11811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</xdr:colOff>
      <xdr:row>12</xdr:row>
      <xdr:rowOff>114300</xdr:rowOff>
    </xdr:from>
    <xdr:to>
      <xdr:col>23</xdr:col>
      <xdr:colOff>336550</xdr:colOff>
      <xdr:row>12</xdr:row>
      <xdr:rowOff>114300</xdr:rowOff>
    </xdr:to>
    <xdr:cxnSp macro="">
      <xdr:nvCxnSpPr>
        <xdr:cNvPr id="86" name="Straight Connector 85"/>
        <xdr:cNvCxnSpPr/>
      </xdr:nvCxnSpPr>
      <xdr:spPr>
        <a:xfrm>
          <a:off x="10998200" y="1066800"/>
          <a:ext cx="335915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38100</xdr:colOff>
      <xdr:row>12</xdr:row>
      <xdr:rowOff>127000</xdr:rowOff>
    </xdr:from>
    <xdr:to>
      <xdr:col>18</xdr:col>
      <xdr:colOff>38100</xdr:colOff>
      <xdr:row>18</xdr:row>
      <xdr:rowOff>165100</xdr:rowOff>
    </xdr:to>
    <xdr:cxnSp macro="">
      <xdr:nvCxnSpPr>
        <xdr:cNvPr id="88" name="Straight Connector 87"/>
        <xdr:cNvCxnSpPr/>
      </xdr:nvCxnSpPr>
      <xdr:spPr>
        <a:xfrm flipH="1" flipV="1">
          <a:off x="11010900" y="1079500"/>
          <a:ext cx="0" cy="11811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457200</xdr:colOff>
      <xdr:row>18</xdr:row>
      <xdr:rowOff>165100</xdr:rowOff>
    </xdr:from>
    <xdr:to>
      <xdr:col>18</xdr:col>
      <xdr:colOff>25400</xdr:colOff>
      <xdr:row>20</xdr:row>
      <xdr:rowOff>114300</xdr:rowOff>
    </xdr:to>
    <xdr:cxnSp macro="">
      <xdr:nvCxnSpPr>
        <xdr:cNvPr id="90" name="Straight Connector 89"/>
        <xdr:cNvCxnSpPr/>
      </xdr:nvCxnSpPr>
      <xdr:spPr>
        <a:xfrm flipH="1">
          <a:off x="10820400" y="2260600"/>
          <a:ext cx="177800" cy="330200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38100</xdr:colOff>
      <xdr:row>18</xdr:row>
      <xdr:rowOff>165100</xdr:rowOff>
    </xdr:from>
    <xdr:to>
      <xdr:col>18</xdr:col>
      <xdr:colOff>190500</xdr:colOff>
      <xdr:row>20</xdr:row>
      <xdr:rowOff>114300</xdr:rowOff>
    </xdr:to>
    <xdr:cxnSp macro="">
      <xdr:nvCxnSpPr>
        <xdr:cNvPr id="93" name="Straight Connector 92"/>
        <xdr:cNvCxnSpPr/>
      </xdr:nvCxnSpPr>
      <xdr:spPr>
        <a:xfrm>
          <a:off x="11010900" y="2260600"/>
          <a:ext cx="152400" cy="330200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25400</xdr:colOff>
      <xdr:row>20</xdr:row>
      <xdr:rowOff>127000</xdr:rowOff>
    </xdr:to>
    <xdr:cxnSp macro="">
      <xdr:nvCxnSpPr>
        <xdr:cNvPr id="95" name="Straight Connector 94"/>
        <xdr:cNvCxnSpPr/>
      </xdr:nvCxnSpPr>
      <xdr:spPr>
        <a:xfrm flipH="1">
          <a:off x="10972800" y="2286000"/>
          <a:ext cx="25400" cy="317500"/>
        </a:xfrm>
        <a:prstGeom prst="line">
          <a:avLst/>
        </a:prstGeom>
        <a:ln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45</xdr:row>
      <xdr:rowOff>165100</xdr:rowOff>
    </xdr:from>
    <xdr:to>
      <xdr:col>27</xdr:col>
      <xdr:colOff>0</xdr:colOff>
      <xdr:row>47</xdr:row>
      <xdr:rowOff>142875</xdr:rowOff>
    </xdr:to>
    <xdr:cxnSp macro="">
      <xdr:nvCxnSpPr>
        <xdr:cNvPr id="104" name="Straight Arrow Connector 103"/>
        <xdr:cNvCxnSpPr/>
      </xdr:nvCxnSpPr>
      <xdr:spPr>
        <a:xfrm>
          <a:off x="16287750" y="8753475"/>
          <a:ext cx="0" cy="358775"/>
        </a:xfrm>
        <a:prstGeom prst="straightConnector1">
          <a:avLst/>
        </a:prstGeom>
        <a:ln w="19050"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6350</xdr:colOff>
      <xdr:row>12</xdr:row>
      <xdr:rowOff>171450</xdr:rowOff>
    </xdr:from>
    <xdr:to>
      <xdr:col>35</xdr:col>
      <xdr:colOff>0</xdr:colOff>
      <xdr:row>36</xdr:row>
      <xdr:rowOff>127000</xdr:rowOff>
    </xdr:to>
    <xdr:grpSp>
      <xdr:nvGrpSpPr>
        <xdr:cNvPr id="106" name="Group 105"/>
        <xdr:cNvGrpSpPr/>
      </xdr:nvGrpSpPr>
      <xdr:grpSpPr>
        <a:xfrm>
          <a:off x="18294350" y="2457450"/>
          <a:ext cx="2406650" cy="4543425"/>
          <a:chOff x="9759950" y="1911350"/>
          <a:chExt cx="2432050" cy="4552950"/>
        </a:xfrm>
      </xdr:grpSpPr>
      <xdr:sp macro="" textlink="">
        <xdr:nvSpPr>
          <xdr:cNvPr id="107" name="Rectangle 106"/>
          <xdr:cNvSpPr/>
        </xdr:nvSpPr>
        <xdr:spPr>
          <a:xfrm>
            <a:off x="9759950" y="1911350"/>
            <a:ext cx="2432050" cy="2576830"/>
          </a:xfrm>
          <a:prstGeom prst="rect">
            <a:avLst/>
          </a:prstGeom>
          <a:ln w="19050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08" name="Straight Connector 107"/>
          <xdr:cNvCxnSpPr/>
        </xdr:nvCxnSpPr>
        <xdr:spPr>
          <a:xfrm>
            <a:off x="9759950" y="4495800"/>
            <a:ext cx="1073150" cy="19685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Connector 108"/>
          <xdr:cNvCxnSpPr/>
        </xdr:nvCxnSpPr>
        <xdr:spPr>
          <a:xfrm flipH="1">
            <a:off x="11107737" y="4497388"/>
            <a:ext cx="1080454" cy="1965325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Connector 109"/>
          <xdr:cNvCxnSpPr/>
        </xdr:nvCxnSpPr>
        <xdr:spPr>
          <a:xfrm>
            <a:off x="10833100" y="6464300"/>
            <a:ext cx="274320" cy="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33</xdr:col>
      <xdr:colOff>0</xdr:colOff>
      <xdr:row>36</xdr:row>
      <xdr:rowOff>127000</xdr:rowOff>
    </xdr:from>
    <xdr:to>
      <xdr:col>33</xdr:col>
      <xdr:colOff>0</xdr:colOff>
      <xdr:row>39</xdr:row>
      <xdr:rowOff>88900</xdr:rowOff>
    </xdr:to>
    <xdr:cxnSp macro="">
      <xdr:nvCxnSpPr>
        <xdr:cNvPr id="111" name="Straight Arrow Connector 110"/>
        <xdr:cNvCxnSpPr/>
      </xdr:nvCxnSpPr>
      <xdr:spPr>
        <a:xfrm>
          <a:off x="20116800" y="5676900"/>
          <a:ext cx="0" cy="533400"/>
        </a:xfrm>
        <a:prstGeom prst="straightConnector1">
          <a:avLst/>
        </a:prstGeom>
        <a:ln w="19050"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304800</xdr:colOff>
      <xdr:row>28</xdr:row>
      <xdr:rowOff>12700</xdr:rowOff>
    </xdr:from>
    <xdr:to>
      <xdr:col>26</xdr:col>
      <xdr:colOff>520700</xdr:colOff>
      <xdr:row>33</xdr:row>
      <xdr:rowOff>127000</xdr:rowOff>
    </xdr:to>
    <xdr:cxnSp macro="">
      <xdr:nvCxnSpPr>
        <xdr:cNvPr id="112" name="Straight Connector 111"/>
        <xdr:cNvCxnSpPr/>
      </xdr:nvCxnSpPr>
      <xdr:spPr>
        <a:xfrm>
          <a:off x="16154400" y="4038600"/>
          <a:ext cx="215900" cy="10668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165100</xdr:colOff>
      <xdr:row>29</xdr:row>
      <xdr:rowOff>114300</xdr:rowOff>
    </xdr:from>
    <xdr:to>
      <xdr:col>27</xdr:col>
      <xdr:colOff>330200</xdr:colOff>
      <xdr:row>33</xdr:row>
      <xdr:rowOff>127000</xdr:rowOff>
    </xdr:to>
    <xdr:cxnSp macro="">
      <xdr:nvCxnSpPr>
        <xdr:cNvPr id="115" name="Straight Connector 114"/>
        <xdr:cNvCxnSpPr/>
      </xdr:nvCxnSpPr>
      <xdr:spPr>
        <a:xfrm flipH="1">
          <a:off x="16624300" y="4330700"/>
          <a:ext cx="165100" cy="7747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302984</xdr:colOff>
      <xdr:row>28</xdr:row>
      <xdr:rowOff>18142</xdr:rowOff>
    </xdr:from>
    <xdr:to>
      <xdr:col>31</xdr:col>
      <xdr:colOff>215900</xdr:colOff>
      <xdr:row>28</xdr:row>
      <xdr:rowOff>18142</xdr:rowOff>
    </xdr:to>
    <xdr:cxnSp macro="">
      <xdr:nvCxnSpPr>
        <xdr:cNvPr id="120" name="Straight Connector 119"/>
        <xdr:cNvCxnSpPr/>
      </xdr:nvCxnSpPr>
      <xdr:spPr>
        <a:xfrm>
          <a:off x="16152584" y="4044042"/>
          <a:ext cx="2960916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328384</xdr:colOff>
      <xdr:row>29</xdr:row>
      <xdr:rowOff>132442</xdr:rowOff>
    </xdr:from>
    <xdr:to>
      <xdr:col>31</xdr:col>
      <xdr:colOff>381000</xdr:colOff>
      <xdr:row>29</xdr:row>
      <xdr:rowOff>132442</xdr:rowOff>
    </xdr:to>
    <xdr:cxnSp macro="">
      <xdr:nvCxnSpPr>
        <xdr:cNvPr id="123" name="Straight Connector 122"/>
        <xdr:cNvCxnSpPr/>
      </xdr:nvCxnSpPr>
      <xdr:spPr>
        <a:xfrm>
          <a:off x="16787584" y="4348842"/>
          <a:ext cx="2491016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482600</xdr:colOff>
      <xdr:row>4</xdr:row>
      <xdr:rowOff>152400</xdr:rowOff>
    </xdr:from>
    <xdr:to>
      <xdr:col>29</xdr:col>
      <xdr:colOff>330200</xdr:colOff>
      <xdr:row>11</xdr:row>
      <xdr:rowOff>127000</xdr:rowOff>
    </xdr:to>
    <xdr:grpSp>
      <xdr:nvGrpSpPr>
        <xdr:cNvPr id="126" name="Group 125"/>
        <xdr:cNvGrpSpPr/>
      </xdr:nvGrpSpPr>
      <xdr:grpSpPr>
        <a:xfrm>
          <a:off x="15754350" y="914400"/>
          <a:ext cx="1657350" cy="1308100"/>
          <a:chOff x="7175500" y="1714500"/>
          <a:chExt cx="1676400" cy="1308100"/>
        </a:xfrm>
      </xdr:grpSpPr>
      <xdr:grpSp>
        <xdr:nvGrpSpPr>
          <xdr:cNvPr id="127" name="Group 126"/>
          <xdr:cNvGrpSpPr/>
        </xdr:nvGrpSpPr>
        <xdr:grpSpPr>
          <a:xfrm>
            <a:off x="7754620" y="1721555"/>
            <a:ext cx="500380" cy="1288345"/>
            <a:chOff x="3093720" y="1264920"/>
            <a:chExt cx="457200" cy="1097280"/>
          </a:xfrm>
        </xdr:grpSpPr>
        <xdr:sp macro="" textlink="">
          <xdr:nvSpPr>
            <xdr:cNvPr id="132" name="Rectangle 131"/>
            <xdr:cNvSpPr/>
          </xdr:nvSpPr>
          <xdr:spPr>
            <a:xfrm rot="5400000">
              <a:off x="2773680" y="1584960"/>
              <a:ext cx="1097280" cy="457200"/>
            </a:xfrm>
            <a:prstGeom prst="rect">
              <a:avLst/>
            </a:prstGeom>
            <a:ln w="19050"/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33" name="Rectangle 132"/>
            <xdr:cNvSpPr/>
          </xdr:nvSpPr>
          <xdr:spPr>
            <a:xfrm rot="5400000">
              <a:off x="2870200" y="1651000"/>
              <a:ext cx="914400" cy="320040"/>
            </a:xfrm>
            <a:prstGeom prst="rect">
              <a:avLst/>
            </a:prstGeom>
            <a:ln w="19050"/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128" name="Straight Connector 127"/>
          <xdr:cNvCxnSpPr/>
        </xdr:nvCxnSpPr>
        <xdr:spPr>
          <a:xfrm>
            <a:off x="8255000" y="1727200"/>
            <a:ext cx="596900" cy="4318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Straight Connector 128"/>
          <xdr:cNvCxnSpPr/>
        </xdr:nvCxnSpPr>
        <xdr:spPr>
          <a:xfrm flipV="1">
            <a:off x="8229600" y="2476500"/>
            <a:ext cx="609600" cy="5334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0" name="Straight Connector 129"/>
          <xdr:cNvCxnSpPr/>
        </xdr:nvCxnSpPr>
        <xdr:spPr>
          <a:xfrm flipV="1">
            <a:off x="7188200" y="1714500"/>
            <a:ext cx="584200" cy="5207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Straight Connector 130"/>
          <xdr:cNvCxnSpPr/>
        </xdr:nvCxnSpPr>
        <xdr:spPr>
          <a:xfrm>
            <a:off x="7175500" y="2540000"/>
            <a:ext cx="609600" cy="4826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393700</xdr:colOff>
      <xdr:row>4</xdr:row>
      <xdr:rowOff>180975</xdr:rowOff>
    </xdr:from>
    <xdr:to>
      <xdr:col>18</xdr:col>
      <xdr:colOff>247650</xdr:colOff>
      <xdr:row>12</xdr:row>
      <xdr:rowOff>121104</xdr:rowOff>
    </xdr:to>
    <xdr:grpSp>
      <xdr:nvGrpSpPr>
        <xdr:cNvPr id="135" name="Group 134"/>
        <xdr:cNvGrpSpPr/>
      </xdr:nvGrpSpPr>
      <xdr:grpSpPr>
        <a:xfrm>
          <a:off x="7219950" y="942975"/>
          <a:ext cx="3473450" cy="1464129"/>
          <a:chOff x="2794000" y="2095500"/>
          <a:chExt cx="3505200" cy="1464129"/>
        </a:xfrm>
      </xdr:grpSpPr>
      <xdr:sp macro="" textlink="">
        <xdr:nvSpPr>
          <xdr:cNvPr id="136" name="Rectangle 135"/>
          <xdr:cNvSpPr/>
        </xdr:nvSpPr>
        <xdr:spPr>
          <a:xfrm>
            <a:off x="3644900" y="2095500"/>
            <a:ext cx="1841500" cy="1464129"/>
          </a:xfrm>
          <a:prstGeom prst="rect">
            <a:avLst/>
          </a:prstGeom>
          <a:ln w="19050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137" name="Straight Connector 136"/>
          <xdr:cNvCxnSpPr/>
        </xdr:nvCxnSpPr>
        <xdr:spPr>
          <a:xfrm>
            <a:off x="5461000" y="2095500"/>
            <a:ext cx="838200" cy="5207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Straight Connector 137"/>
          <xdr:cNvCxnSpPr/>
        </xdr:nvCxnSpPr>
        <xdr:spPr>
          <a:xfrm flipV="1">
            <a:off x="5486400" y="2908300"/>
            <a:ext cx="800100" cy="6477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9" name="Straight Connector 138"/>
          <xdr:cNvCxnSpPr/>
        </xdr:nvCxnSpPr>
        <xdr:spPr>
          <a:xfrm>
            <a:off x="2794000" y="3022600"/>
            <a:ext cx="838200" cy="5207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0" name="Straight Connector 139"/>
          <xdr:cNvCxnSpPr/>
        </xdr:nvCxnSpPr>
        <xdr:spPr>
          <a:xfrm flipV="1">
            <a:off x="2832100" y="2095500"/>
            <a:ext cx="800100" cy="647700"/>
          </a:xfrm>
          <a:prstGeom prst="line">
            <a:avLst/>
          </a:prstGeom>
          <a:ln w="1905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0</xdr:colOff>
      <xdr:row>12</xdr:row>
      <xdr:rowOff>174625</xdr:rowOff>
    </xdr:from>
    <xdr:to>
      <xdr:col>36</xdr:col>
      <xdr:colOff>298450</xdr:colOff>
      <xdr:row>14</xdr:row>
      <xdr:rowOff>113665</xdr:rowOff>
    </xdr:to>
    <xdr:sp macro="" textlink="">
      <xdr:nvSpPr>
        <xdr:cNvPr id="141" name="Rectangle 140"/>
        <xdr:cNvSpPr/>
      </xdr:nvSpPr>
      <xdr:spPr>
        <a:xfrm>
          <a:off x="21113750" y="2460625"/>
          <a:ext cx="901700" cy="32004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288925</xdr:colOff>
      <xdr:row>11</xdr:row>
      <xdr:rowOff>38100</xdr:rowOff>
    </xdr:from>
    <xdr:to>
      <xdr:col>37</xdr:col>
      <xdr:colOff>587375</xdr:colOff>
      <xdr:row>16</xdr:row>
      <xdr:rowOff>0</xdr:rowOff>
    </xdr:to>
    <xdr:grpSp>
      <xdr:nvGrpSpPr>
        <xdr:cNvPr id="142" name="Group 141"/>
        <xdr:cNvGrpSpPr/>
      </xdr:nvGrpSpPr>
      <xdr:grpSpPr>
        <a:xfrm>
          <a:off x="21593175" y="2133600"/>
          <a:ext cx="901700" cy="914400"/>
          <a:chOff x="850900" y="927100"/>
          <a:chExt cx="914400" cy="914400"/>
        </a:xfrm>
      </xdr:grpSpPr>
      <xdr:sp macro="" textlink="">
        <xdr:nvSpPr>
          <xdr:cNvPr id="143" name="Oval 142"/>
          <xdr:cNvSpPr/>
        </xdr:nvSpPr>
        <xdr:spPr>
          <a:xfrm>
            <a:off x="850900" y="927100"/>
            <a:ext cx="914400" cy="914400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4" name="Oval 143"/>
          <xdr:cNvSpPr/>
        </xdr:nvSpPr>
        <xdr:spPr>
          <a:xfrm flipH="1" flipV="1">
            <a:off x="1130300" y="1193800"/>
            <a:ext cx="365760" cy="365760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5" name="Oval 144"/>
          <xdr:cNvSpPr/>
        </xdr:nvSpPr>
        <xdr:spPr>
          <a:xfrm flipH="1" flipV="1">
            <a:off x="1231900" y="1282700"/>
            <a:ext cx="182880" cy="182880"/>
          </a:xfrm>
          <a:prstGeom prst="ellipse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37</xdr:col>
      <xdr:colOff>249555</xdr:colOff>
      <xdr:row>7</xdr:row>
      <xdr:rowOff>166370</xdr:rowOff>
    </xdr:from>
    <xdr:to>
      <xdr:col>37</xdr:col>
      <xdr:colOff>569595</xdr:colOff>
      <xdr:row>12</xdr:row>
      <xdr:rowOff>121920</xdr:rowOff>
    </xdr:to>
    <xdr:sp macro="" textlink="">
      <xdr:nvSpPr>
        <xdr:cNvPr id="146" name="Rectangle 145"/>
        <xdr:cNvSpPr/>
      </xdr:nvSpPr>
      <xdr:spPr>
        <a:xfrm rot="5400000">
          <a:off x="22275800" y="1793875"/>
          <a:ext cx="908050" cy="32004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288924</xdr:colOff>
      <xdr:row>6</xdr:row>
      <xdr:rowOff>174625</xdr:rowOff>
    </xdr:from>
    <xdr:to>
      <xdr:col>37</xdr:col>
      <xdr:colOff>571499</xdr:colOff>
      <xdr:row>8</xdr:row>
      <xdr:rowOff>158114</xdr:rowOff>
    </xdr:to>
    <xdr:sp macro="" textlink="">
      <xdr:nvSpPr>
        <xdr:cNvPr id="147" name="Rectangle 146"/>
        <xdr:cNvSpPr/>
      </xdr:nvSpPr>
      <xdr:spPr>
        <a:xfrm>
          <a:off x="17783174" y="1317625"/>
          <a:ext cx="5108575" cy="364489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219074</xdr:colOff>
      <xdr:row>7</xdr:row>
      <xdr:rowOff>88900</xdr:rowOff>
    </xdr:from>
    <xdr:to>
      <xdr:col>26</xdr:col>
      <xdr:colOff>501649</xdr:colOff>
      <xdr:row>9</xdr:row>
      <xdr:rowOff>72389</xdr:rowOff>
    </xdr:to>
    <xdr:sp macro="" textlink="">
      <xdr:nvSpPr>
        <xdr:cNvPr id="148" name="Rectangle 147"/>
        <xdr:cNvSpPr/>
      </xdr:nvSpPr>
      <xdr:spPr>
        <a:xfrm>
          <a:off x="11077574" y="1422400"/>
          <a:ext cx="5108575" cy="364489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592455</xdr:colOff>
      <xdr:row>9</xdr:row>
      <xdr:rowOff>15875</xdr:rowOff>
    </xdr:from>
    <xdr:to>
      <xdr:col>2</xdr:col>
      <xdr:colOff>301625</xdr:colOff>
      <xdr:row>17</xdr:row>
      <xdr:rowOff>4445</xdr:rowOff>
    </xdr:to>
    <xdr:sp macro="" textlink="">
      <xdr:nvSpPr>
        <xdr:cNvPr id="149" name="Rectangle 148"/>
        <xdr:cNvSpPr/>
      </xdr:nvSpPr>
      <xdr:spPr>
        <a:xfrm rot="5400000">
          <a:off x="595630" y="2330450"/>
          <a:ext cx="1512570" cy="31242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587376</xdr:colOff>
      <xdr:row>8</xdr:row>
      <xdr:rowOff>50801</xdr:rowOff>
    </xdr:from>
    <xdr:to>
      <xdr:col>12</xdr:col>
      <xdr:colOff>463550</xdr:colOff>
      <xdr:row>10</xdr:row>
      <xdr:rowOff>1</xdr:rowOff>
    </xdr:to>
    <xdr:sp macro="" textlink="">
      <xdr:nvSpPr>
        <xdr:cNvPr id="150" name="Rectangle 149"/>
        <xdr:cNvSpPr/>
      </xdr:nvSpPr>
      <xdr:spPr>
        <a:xfrm>
          <a:off x="1190626" y="1574801"/>
          <a:ext cx="6511924" cy="33020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R53"/>
  <sheetViews>
    <sheetView showGridLines="0" tabSelected="1" zoomScale="40" zoomScaleNormal="40" workbookViewId="0">
      <selection activeCell="J41" sqref="J41"/>
    </sheetView>
  </sheetViews>
  <sheetFormatPr defaultRowHeight="14.5" x14ac:dyDescent="0.35"/>
  <cols>
    <col min="1" max="1" width="2.6328125" customWidth="1"/>
    <col min="28" max="28" width="8.7265625" customWidth="1"/>
    <col min="41" max="41" width="2.6328125" customWidth="1"/>
  </cols>
  <sheetData>
    <row r="1" spans="2:40" ht="15" thickBot="1" x14ac:dyDescent="0.4"/>
    <row r="2" spans="2:40" x14ac:dyDescent="0.3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7"/>
    </row>
    <row r="3" spans="2:40" x14ac:dyDescent="0.35">
      <c r="B3" s="8"/>
      <c r="C3" s="9"/>
      <c r="D3" s="9"/>
      <c r="E3" s="9"/>
      <c r="F3" s="2" t="s">
        <v>19</v>
      </c>
      <c r="G3" s="2"/>
      <c r="H3" s="10">
        <v>63</v>
      </c>
      <c r="I3" s="2" t="s">
        <v>12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11"/>
    </row>
    <row r="4" spans="2:40" x14ac:dyDescent="0.35">
      <c r="B4" s="8"/>
      <c r="C4" s="9"/>
      <c r="D4" s="23" t="s">
        <v>20</v>
      </c>
      <c r="E4" s="23"/>
      <c r="F4" s="23"/>
      <c r="G4" s="23"/>
      <c r="H4" s="4">
        <f>(O32/((4.2*(100-AB20))+2260))*(100-H3)/100</f>
        <v>29.485048543689313</v>
      </c>
      <c r="I4" s="23" t="s">
        <v>0</v>
      </c>
      <c r="J4" s="23"/>
      <c r="K4" s="9"/>
      <c r="L4" s="9"/>
      <c r="M4" s="9"/>
      <c r="N4" s="9"/>
      <c r="O4" s="22" t="s">
        <v>24</v>
      </c>
      <c r="P4" s="22"/>
      <c r="Q4" s="22"/>
      <c r="R4" s="9"/>
      <c r="S4" s="9"/>
      <c r="T4" s="9"/>
      <c r="U4" s="9"/>
      <c r="V4" s="9"/>
      <c r="W4" s="9"/>
      <c r="X4" s="9"/>
      <c r="Y4" s="9"/>
      <c r="Z4" s="9"/>
      <c r="AA4" s="9"/>
      <c r="AB4" s="22" t="s">
        <v>26</v>
      </c>
      <c r="AC4" s="22"/>
      <c r="AD4" s="9"/>
      <c r="AE4" s="9"/>
      <c r="AF4" s="9"/>
      <c r="AG4" s="9"/>
      <c r="AH4" s="9"/>
      <c r="AI4" s="9"/>
      <c r="AJ4" s="9"/>
      <c r="AK4" s="9"/>
      <c r="AL4" s="9"/>
      <c r="AM4" s="9"/>
      <c r="AN4" s="11"/>
    </row>
    <row r="5" spans="2:40" x14ac:dyDescent="0.35">
      <c r="B5" s="8"/>
      <c r="C5" s="9"/>
      <c r="D5" s="23" t="s">
        <v>21</v>
      </c>
      <c r="E5" s="23"/>
      <c r="F5" s="23"/>
      <c r="G5" s="23"/>
      <c r="H5" s="4">
        <f>AB21+H4</f>
        <v>79.6893203883495</v>
      </c>
      <c r="I5" s="23" t="s">
        <v>0</v>
      </c>
      <c r="J5" s="23"/>
      <c r="K5" s="2" t="s">
        <v>5</v>
      </c>
      <c r="L5" s="10">
        <v>10</v>
      </c>
      <c r="M5" s="12" t="s">
        <v>1</v>
      </c>
      <c r="N5" s="9"/>
      <c r="O5" s="9"/>
      <c r="P5" s="9"/>
      <c r="Q5" s="9"/>
      <c r="R5" s="9"/>
      <c r="S5" s="2" t="s">
        <v>4</v>
      </c>
      <c r="T5" s="10">
        <f>Z29</f>
        <v>85</v>
      </c>
      <c r="U5" s="13" t="s">
        <v>1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11"/>
    </row>
    <row r="6" spans="2:40" x14ac:dyDescent="0.35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11"/>
    </row>
    <row r="7" spans="2:40" x14ac:dyDescent="0.35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11"/>
    </row>
    <row r="8" spans="2:40" x14ac:dyDescent="0.35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11"/>
    </row>
    <row r="9" spans="2:40" x14ac:dyDescent="0.35"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11"/>
    </row>
    <row r="10" spans="2:40" x14ac:dyDescent="0.35"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11"/>
    </row>
    <row r="11" spans="2:40" x14ac:dyDescent="0.35"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11"/>
    </row>
    <row r="12" spans="2:40" x14ac:dyDescent="0.35">
      <c r="B12" s="8"/>
      <c r="C12" s="9"/>
      <c r="D12" s="9"/>
      <c r="E12" s="9"/>
      <c r="F12" s="9"/>
      <c r="G12" s="22" t="s">
        <v>25</v>
      </c>
      <c r="H12" s="22"/>
      <c r="I12" s="22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11"/>
    </row>
    <row r="13" spans="2:40" x14ac:dyDescent="0.35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11"/>
    </row>
    <row r="14" spans="2:40" x14ac:dyDescent="0.35"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11"/>
    </row>
    <row r="15" spans="2:40" x14ac:dyDescent="0.35"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11"/>
    </row>
    <row r="16" spans="2:40" x14ac:dyDescent="0.35"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11"/>
    </row>
    <row r="17" spans="2:44" x14ac:dyDescent="0.35"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11"/>
    </row>
    <row r="18" spans="2:44" x14ac:dyDescent="0.35"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27">
        <f>3700*0.8</f>
        <v>2960</v>
      </c>
      <c r="AL18" s="27"/>
      <c r="AM18" s="23" t="s">
        <v>0</v>
      </c>
      <c r="AN18" s="26"/>
    </row>
    <row r="19" spans="2:44" x14ac:dyDescent="0.35"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2"/>
      <c r="AL19" s="9"/>
      <c r="AM19" s="9"/>
      <c r="AN19" s="11"/>
    </row>
    <row r="20" spans="2:44" x14ac:dyDescent="0.35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23" t="s">
        <v>4</v>
      </c>
      <c r="AA20" s="23"/>
      <c r="AB20" s="10">
        <v>25</v>
      </c>
      <c r="AC20" s="14" t="s">
        <v>1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11"/>
    </row>
    <row r="21" spans="2:44" x14ac:dyDescent="0.35"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23" t="s">
        <v>10</v>
      </c>
      <c r="AA21" s="23"/>
      <c r="AB21" s="4">
        <f>(O32/((4.2*(100-AB20))+2260))*H3/100</f>
        <v>50.204271844660191</v>
      </c>
      <c r="AC21" s="2" t="s">
        <v>0</v>
      </c>
      <c r="AD21" s="9"/>
      <c r="AE21" s="9"/>
      <c r="AF21" s="9"/>
      <c r="AG21" s="9"/>
      <c r="AH21" s="9"/>
      <c r="AI21" s="9"/>
      <c r="AJ21" s="9"/>
      <c r="AK21" s="23" t="s">
        <v>28</v>
      </c>
      <c r="AL21" s="23"/>
      <c r="AM21" s="9"/>
      <c r="AN21" s="11"/>
    </row>
    <row r="22" spans="2:44" x14ac:dyDescent="0.35"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22" t="s">
        <v>26</v>
      </c>
      <c r="N22" s="2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23" t="s">
        <v>11</v>
      </c>
      <c r="AA22" s="23"/>
      <c r="AB22" s="19">
        <v>20</v>
      </c>
      <c r="AC22" s="2" t="s">
        <v>12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</row>
    <row r="23" spans="2:44" x14ac:dyDescent="0.35">
      <c r="B23" s="15"/>
      <c r="C23" s="10">
        <v>2400</v>
      </c>
      <c r="D23" s="2" t="s">
        <v>0</v>
      </c>
      <c r="E23" s="2" t="s">
        <v>4</v>
      </c>
      <c r="F23" s="10">
        <f>L5</f>
        <v>10</v>
      </c>
      <c r="G23" s="13" t="s">
        <v>1</v>
      </c>
      <c r="H23" s="3"/>
      <c r="I23" s="9"/>
      <c r="J23" s="2" t="s">
        <v>5</v>
      </c>
      <c r="K23" s="19">
        <v>160</v>
      </c>
      <c r="L23" s="12" t="s">
        <v>1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23" t="s">
        <v>15</v>
      </c>
      <c r="AA23" s="23"/>
      <c r="AB23" s="10">
        <v>50</v>
      </c>
      <c r="AC23" s="2" t="s">
        <v>16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</row>
    <row r="24" spans="2:44" x14ac:dyDescent="0.35">
      <c r="B24" s="8"/>
      <c r="C24" s="24"/>
      <c r="D24" s="24"/>
      <c r="E24" s="9"/>
      <c r="F24" s="9"/>
      <c r="G24" s="24"/>
      <c r="H24" s="24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</row>
    <row r="25" spans="2:44" ht="16.5" x14ac:dyDescent="0.35">
      <c r="B25" s="8"/>
      <c r="C25" s="24"/>
      <c r="D25" s="24"/>
      <c r="E25" s="9"/>
      <c r="F25" s="9"/>
      <c r="G25" s="25">
        <f>(C23*1.14*K23)/3600</f>
        <v>121.59999999999998</v>
      </c>
      <c r="H25" s="25"/>
      <c r="I25" s="2" t="s">
        <v>9</v>
      </c>
      <c r="J25" s="9"/>
      <c r="K25" s="9"/>
      <c r="L25" s="9"/>
      <c r="M25" s="23" t="s">
        <v>6</v>
      </c>
      <c r="N25" s="23"/>
      <c r="O25" s="10">
        <v>21</v>
      </c>
      <c r="P25" s="2" t="s">
        <v>2</v>
      </c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11"/>
    </row>
    <row r="26" spans="2:44" x14ac:dyDescent="0.35">
      <c r="B26" s="8"/>
      <c r="C26" s="9" t="s">
        <v>27</v>
      </c>
      <c r="D26" s="9"/>
      <c r="E26" s="9"/>
      <c r="F26" s="9"/>
      <c r="G26" s="9"/>
      <c r="H26" s="9"/>
      <c r="I26" s="9"/>
      <c r="J26" s="9"/>
      <c r="K26" s="9"/>
      <c r="L26" s="9"/>
      <c r="M26" s="23" t="s">
        <v>7</v>
      </c>
      <c r="N26" s="23"/>
      <c r="O26" s="4">
        <f>O25/(C23/3600)</f>
        <v>31.5</v>
      </c>
      <c r="P26" s="2" t="s">
        <v>3</v>
      </c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11"/>
    </row>
    <row r="27" spans="2:44" x14ac:dyDescent="0.35"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11"/>
      <c r="AR27" s="20"/>
    </row>
    <row r="28" spans="2:44" x14ac:dyDescent="0.35"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11"/>
    </row>
    <row r="29" spans="2:44" x14ac:dyDescent="0.35"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2" t="s">
        <v>8</v>
      </c>
      <c r="Z29" s="10">
        <v>85</v>
      </c>
      <c r="AA29" s="12" t="s">
        <v>1</v>
      </c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11"/>
    </row>
    <row r="30" spans="2:44" x14ac:dyDescent="0.35"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11"/>
    </row>
    <row r="31" spans="2:44" x14ac:dyDescent="0.35"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11"/>
    </row>
    <row r="32" spans="2:44" x14ac:dyDescent="0.35"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23" t="s">
        <v>17</v>
      </c>
      <c r="N32" s="23"/>
      <c r="O32" s="1">
        <f>C23*1.14*(K23-Z29)</f>
        <v>205199.99999999997</v>
      </c>
      <c r="P32" s="9" t="s">
        <v>18</v>
      </c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11"/>
    </row>
    <row r="33" spans="2:40" x14ac:dyDescent="0.35"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11"/>
    </row>
    <row r="34" spans="2:40" x14ac:dyDescent="0.35"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11"/>
    </row>
    <row r="35" spans="2:40" x14ac:dyDescent="0.35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11"/>
    </row>
    <row r="36" spans="2:40" x14ac:dyDescent="0.35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11"/>
    </row>
    <row r="37" spans="2:40" x14ac:dyDescent="0.35"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11"/>
    </row>
    <row r="38" spans="2:40" x14ac:dyDescent="0.35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11"/>
    </row>
    <row r="39" spans="2:40" x14ac:dyDescent="0.35"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11"/>
    </row>
    <row r="40" spans="2:40" x14ac:dyDescent="0.35"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11"/>
    </row>
    <row r="41" spans="2:40" x14ac:dyDescent="0.35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11"/>
    </row>
    <row r="42" spans="2:40" x14ac:dyDescent="0.35"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11"/>
    </row>
    <row r="43" spans="2:40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11"/>
    </row>
    <row r="44" spans="2:40" x14ac:dyDescent="0.35"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11"/>
    </row>
    <row r="45" spans="2:40" x14ac:dyDescent="0.35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11"/>
    </row>
    <row r="46" spans="2:40" x14ac:dyDescent="0.35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11"/>
    </row>
    <row r="47" spans="2:40" x14ac:dyDescent="0.35"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11"/>
    </row>
    <row r="48" spans="2:40" x14ac:dyDescent="0.35"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11"/>
    </row>
    <row r="49" spans="2:40" x14ac:dyDescent="0.35"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23" t="s">
        <v>13</v>
      </c>
      <c r="AA49" s="23"/>
      <c r="AB49" s="21">
        <f>(AB22/(100-AB22))*AB21*0.8</f>
        <v>10.040854368932038</v>
      </c>
      <c r="AC49" s="23" t="s">
        <v>0</v>
      </c>
      <c r="AD49" s="23"/>
      <c r="AE49" s="9"/>
      <c r="AF49" s="9"/>
      <c r="AG49" s="9"/>
      <c r="AH49" s="9"/>
      <c r="AI49" s="9"/>
      <c r="AJ49" s="9"/>
      <c r="AK49" s="9"/>
      <c r="AL49" s="9"/>
      <c r="AM49" s="9"/>
      <c r="AN49" s="11"/>
    </row>
    <row r="50" spans="2:40" x14ac:dyDescent="0.35"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23" t="s">
        <v>13</v>
      </c>
      <c r="AA50" s="23"/>
      <c r="AB50" s="4">
        <f>AB49*AB21</f>
        <v>504.09378229050799</v>
      </c>
      <c r="AC50" s="23" t="s">
        <v>14</v>
      </c>
      <c r="AD50" s="23" t="s">
        <v>14</v>
      </c>
      <c r="AE50" s="9"/>
      <c r="AF50" s="9"/>
      <c r="AG50" s="9"/>
      <c r="AH50" s="9"/>
      <c r="AI50" s="9"/>
      <c r="AJ50" s="9"/>
      <c r="AK50" s="9"/>
      <c r="AL50" s="9"/>
      <c r="AM50" s="9"/>
      <c r="AN50" s="11"/>
    </row>
    <row r="51" spans="2:40" x14ac:dyDescent="0.35"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23" t="s">
        <v>13</v>
      </c>
      <c r="AA51" s="23"/>
      <c r="AB51" s="4">
        <f>AB50*7</f>
        <v>3528.6564760335559</v>
      </c>
      <c r="AC51" s="23" t="s">
        <v>22</v>
      </c>
      <c r="AD51" s="23" t="s">
        <v>14</v>
      </c>
      <c r="AE51" s="3"/>
      <c r="AF51" s="9"/>
      <c r="AG51" s="9"/>
      <c r="AH51" s="9"/>
      <c r="AI51" s="9"/>
      <c r="AJ51" s="9"/>
      <c r="AK51" s="9"/>
      <c r="AL51" s="9"/>
      <c r="AM51" s="9"/>
      <c r="AN51" s="11"/>
    </row>
    <row r="52" spans="2:40" x14ac:dyDescent="0.35">
      <c r="B52" s="8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23" t="s">
        <v>13</v>
      </c>
      <c r="AA52" s="23"/>
      <c r="AB52" s="4">
        <f>AB51*11/1000</f>
        <v>38.815221236369112</v>
      </c>
      <c r="AC52" s="23" t="s">
        <v>23</v>
      </c>
      <c r="AD52" s="23" t="s">
        <v>14</v>
      </c>
      <c r="AE52" s="3"/>
      <c r="AF52" s="9"/>
      <c r="AG52" s="9"/>
      <c r="AH52" s="9"/>
      <c r="AI52" s="9"/>
      <c r="AJ52" s="9"/>
      <c r="AK52" s="9"/>
      <c r="AL52" s="9"/>
      <c r="AM52" s="9"/>
      <c r="AN52" s="11"/>
    </row>
    <row r="53" spans="2:40" ht="15" thickBot="1" x14ac:dyDescent="0.4"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8"/>
    </row>
  </sheetData>
  <mergeCells count="30">
    <mergeCell ref="D4:G4"/>
    <mergeCell ref="D5:G5"/>
    <mergeCell ref="I4:J4"/>
    <mergeCell ref="I5:J5"/>
    <mergeCell ref="AK18:AL18"/>
    <mergeCell ref="O4:Q4"/>
    <mergeCell ref="G12:I12"/>
    <mergeCell ref="AM18:AN18"/>
    <mergeCell ref="AC50:AD50"/>
    <mergeCell ref="Z20:AA20"/>
    <mergeCell ref="Z21:AA21"/>
    <mergeCell ref="Z22:AA22"/>
    <mergeCell ref="Z23:AA23"/>
    <mergeCell ref="Z52:AA52"/>
    <mergeCell ref="AC52:AD52"/>
    <mergeCell ref="AC49:AD49"/>
    <mergeCell ref="C24:D24"/>
    <mergeCell ref="C25:D25"/>
    <mergeCell ref="G24:H24"/>
    <mergeCell ref="G25:H25"/>
    <mergeCell ref="Z51:AA51"/>
    <mergeCell ref="M25:N25"/>
    <mergeCell ref="M26:N26"/>
    <mergeCell ref="Z50:AA50"/>
    <mergeCell ref="M32:N32"/>
    <mergeCell ref="M22:N22"/>
    <mergeCell ref="AB4:AC4"/>
    <mergeCell ref="AK21:AL21"/>
    <mergeCell ref="AC51:AD51"/>
    <mergeCell ref="Z49:AA49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DRL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Nagaraju</dc:creator>
  <cp:lastModifiedBy>Siva Nagaraju</cp:lastModifiedBy>
  <dcterms:created xsi:type="dcterms:W3CDTF">2026-05-17T15:10:12Z</dcterms:created>
  <dcterms:modified xsi:type="dcterms:W3CDTF">2026-06-09T07:42:23Z</dcterms:modified>
</cp:coreProperties>
</file>